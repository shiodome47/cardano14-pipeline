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Cardano Use Cases Partners &amp; Pr" sheetId="2" r:id="rId5"/>
    <sheet state="visible" name="Cardano Use Cases Concept" sheetId="3" r:id="rId6"/>
    <sheet state="visible" name="Cardano Open Developers" sheetId="4" r:id="rId7"/>
    <sheet state="visible" name="Cardano Open Ecosystem" sheetId="5" r:id="rId8"/>
    <sheet state="visible" name="Sponsored by leftovers" sheetId="6" r:id="rId9"/>
    <sheet state="visible" name="Withdrawn" sheetId="7" r:id="rId10"/>
    <sheet state="visible" name="Validation" sheetId="8" r:id="rId11"/>
  </sheets>
  <definedNames>
    <definedName name="eco">Validation!$C$3</definedName>
    <definedName name="enterprise">#REF!</definedName>
    <definedName name="percent">Validation!$C$10</definedName>
    <definedName name="product">Validation!$C$5</definedName>
    <definedName name="dev">Validation!$C$2</definedName>
    <definedName name="leftover">Validation!$C$13</definedName>
    <definedName name="concept">Validation!$C$4</definedName>
    <definedName name="growth">#REF!</definedName>
    <definedName hidden="1" localSheetId="0" name="_xlnm._FilterDatabase">Template!$A$1:$F$103</definedName>
    <definedName hidden="1" localSheetId="1" name="_xlnm._FilterDatabase">'Cardano Use Cases Partners &amp; Pr'!$A$1:$F$109</definedName>
    <definedName hidden="1" localSheetId="2" name="_xlnm._FilterDatabase">'Cardano Use Cases Concept'!$A$1:$F$461</definedName>
    <definedName hidden="1" localSheetId="3" name="_xlnm._FilterDatabase">'Cardano Open Developers'!$A$1:$F$265</definedName>
    <definedName hidden="1" localSheetId="4" name="_xlnm._FilterDatabase">'Cardano Open Ecosystem'!$A$1:$F$451</definedName>
    <definedName hidden="1" localSheetId="5" name="_xlnm._FilterDatabase">'Sponsored by leftovers'!$A$1:$H$79</definedName>
  </definedNames>
  <calcPr/>
</workbook>
</file>

<file path=xl/sharedStrings.xml><?xml version="1.0" encoding="utf-8"?>
<sst xmlns="http://schemas.openxmlformats.org/spreadsheetml/2006/main" count="1604" uniqueCount="1416">
  <si>
    <t>Proposal</t>
  </si>
  <si>
    <t>Votes cast</t>
  </si>
  <si>
    <t>Yes</t>
  </si>
  <si>
    <t>Abstain</t>
  </si>
  <si>
    <t>Meets approval threshold</t>
  </si>
  <si>
    <t>Requested Ada</t>
  </si>
  <si>
    <t>Status</t>
  </si>
  <si>
    <t>Fund depletion</t>
  </si>
  <si>
    <t>Reason for not funded status</t>
  </si>
  <si>
    <r>
      <rPr>
        <rFont val="Calibri, sans-serif"/>
        <color rgb="FF1155CC"/>
        <sz val="11.0"/>
        <u/>
      </rPr>
      <t>Bifrost: Bitcoin-Cardano bridge secured by Cardano SPOs</t>
    </r>
  </si>
  <si>
    <r>
      <rPr>
        <rFont val="Calibri, sans-serif"/>
        <color rgb="FF1155CC"/>
        <sz val="11.0"/>
        <u/>
      </rPr>
      <t>Cardano’s First End-to-End Metal and Minerals RWA Ecosystem</t>
    </r>
  </si>
  <si>
    <r>
      <rPr>
        <rFont val="Calibri, sans-serif"/>
        <color rgb="FF1155CC"/>
        <sz val="11.0"/>
        <u/>
      </rPr>
      <t>Leverage Trading with Market/Limit Orders on Minswap</t>
    </r>
  </si>
  <si>
    <r>
      <rPr>
        <rFont val="Calibri, sans-serif"/>
        <color rgb="FF1155CC"/>
        <sz val="11.0"/>
        <u/>
      </rPr>
      <t>CHARLI3 Open Source Oracle Marketplace and Launchpad</t>
    </r>
  </si>
  <si>
    <r>
      <rPr>
        <rFont val="Calibri, sans-serif"/>
        <color rgb="FF1155CC"/>
        <sz val="11.0"/>
        <u/>
      </rPr>
      <t>Indigo V3 – CNT-Backed Collateral for Indigo CDPs</t>
    </r>
  </si>
  <si>
    <r>
      <rPr>
        <rFont val="Calibri, sans-serif"/>
        <color rgb="FF1155CC"/>
        <sz val="11.0"/>
        <u/>
      </rPr>
      <t>IndianChain: Indian Government's 10M+ Settlements on Cardano</t>
    </r>
  </si>
  <si>
    <r>
      <rPr>
        <rFont val="Calibri, sans-serif"/>
        <color rgb="FF1155CC"/>
        <sz val="11.0"/>
        <u/>
      </rPr>
      <t>Bringing Multi-Chain Users From Ctrl Wallet Into Cardano</t>
    </r>
  </si>
  <si>
    <r>
      <rPr>
        <rFont val="Calibri, sans-serif"/>
        <color rgb="FF1155CC"/>
        <sz val="11.0"/>
        <u/>
      </rPr>
      <t>Cardano Corporate PoC Lab - Japan (powered by Antler Ibex)</t>
    </r>
  </si>
  <si>
    <r>
      <rPr>
        <rFont val="Calibri, sans-serif"/>
        <color rgb="FF1155CC"/>
        <sz val="11.0"/>
        <u/>
      </rPr>
      <t>AIRA : Hydra Loyalty &amp; Crypto for Regional Revitalization</t>
    </r>
  </si>
  <si>
    <r>
      <rPr>
        <rFont val="Calibri, sans-serif"/>
        <color rgb="FF1155CC"/>
        <sz val="11.0"/>
        <u/>
      </rPr>
      <t>Masumi AI Agent Network 2.0 by Serviceplan Group</t>
    </r>
  </si>
  <si>
    <r>
      <rPr>
        <rFont val="Calibri, sans-serif"/>
        <color rgb="FF1155CC"/>
        <sz val="11.0"/>
        <u/>
      </rPr>
      <t>Real World Adoption: Cardano Payments in Vending Machines</t>
    </r>
  </si>
  <si>
    <r>
      <rPr>
        <rFont val="Calibri, sans-serif"/>
        <color rgb="FF1155CC"/>
        <sz val="11.0"/>
        <u/>
      </rPr>
      <t>Onboard 50,000 Nigerian Farmers for Compliant Traceability</t>
    </r>
  </si>
  <si>
    <r>
      <rPr>
        <rFont val="Calibri, sans-serif"/>
        <color rgb="FF1155CC"/>
        <sz val="11.0"/>
        <u/>
      </rPr>
      <t>SNEKbot + SundaeLabs: Non-custodial Trading using Strategies</t>
    </r>
  </si>
  <si>
    <r>
      <rPr>
        <rFont val="Calibri, sans-serif"/>
        <color rgb="FF1155CC"/>
        <sz val="11.0"/>
        <u/>
      </rPr>
      <t>Ledger Live DRep Delegation Support</t>
    </r>
  </si>
  <si>
    <r>
      <rPr>
        <rFont val="Calibri, sans-serif"/>
        <color rgb="FF1155CC"/>
        <sz val="11.0"/>
        <u/>
      </rPr>
      <t>Japanese government funded: AI chat platform with Fujitsu</t>
    </r>
  </si>
  <si>
    <r>
      <rPr>
        <rFont val="Calibri, sans-serif"/>
        <color rgb="FF1155CC"/>
        <sz val="11.0"/>
        <u/>
      </rPr>
      <t>VESPR Keyless: Self-Custody Without Seed Phrases</t>
    </r>
  </si>
  <si>
    <r>
      <rPr>
        <rFont val="Calibri, sans-serif"/>
        <color rgb="FF1155CC"/>
        <sz val="11.0"/>
        <u/>
      </rPr>
      <t>Stable + Cardano: fast and feeless USDT interopability</t>
    </r>
  </si>
  <si>
    <r>
      <rPr>
        <rFont val="Calibri, sans-serif"/>
        <color rgb="FF1155CC"/>
        <sz val="11.0"/>
        <u/>
      </rPr>
      <t>Onchain analytics for the Cardano ecosystem</t>
    </r>
  </si>
  <si>
    <r>
      <rPr>
        <rFont val="Calibri, sans-serif"/>
        <color rgb="FF1155CC"/>
        <sz val="11.0"/>
        <u/>
      </rPr>
      <t>NuNet: Hydra-Powered Micropayments for DePIN</t>
    </r>
  </si>
  <si>
    <r>
      <rPr>
        <rFont val="Calibri, sans-serif"/>
        <color rgb="FF1155CC"/>
        <sz val="11.0"/>
        <u/>
      </rPr>
      <t>Typhon Wallet - Secure Multi-Signature Support</t>
    </r>
  </si>
  <si>
    <r>
      <rPr>
        <rFont val="Calibri, sans-serif"/>
        <color rgb="FF1155CC"/>
        <sz val="11.0"/>
        <u/>
      </rPr>
      <t>USDC + USDT perps on Cardano: extend Strike for multi-chain</t>
    </r>
  </si>
  <si>
    <r>
      <rPr>
        <rFont val="Calibri, sans-serif"/>
        <color rgb="FF1155CC"/>
        <sz val="11.0"/>
        <u/>
      </rPr>
      <t>Cardanoscan Upgrade V3: Real-Time, Personal &amp; More Analytics</t>
    </r>
  </si>
  <si>
    <r>
      <rPr>
        <rFont val="Calibri, sans-serif"/>
        <color rgb="FF1155CC"/>
        <sz val="11.0"/>
        <u/>
      </rPr>
      <t>VESPR x DexHunter: Stable-Swaps Aggregation 💱</t>
    </r>
  </si>
  <si>
    <r>
      <rPr>
        <rFont val="Calibri, sans-serif"/>
        <color rgb="FF1155CC"/>
        <sz val="11.0"/>
        <u/>
      </rPr>
      <t>Strike Finance &lt;&gt; Bodega Market: Predection Market Perps</t>
    </r>
  </si>
  <si>
    <r>
      <rPr>
        <rFont val="Calibri, sans-serif"/>
        <color rgb="FF1155CC"/>
        <sz val="11.0"/>
        <u/>
      </rPr>
      <t>Cardano Institutional UX Stack: Compliance &amp; BTC-Ready DeFi</t>
    </r>
  </si>
  <si>
    <r>
      <rPr>
        <rFont val="Calibri, sans-serif"/>
        <color rgb="FF1155CC"/>
        <sz val="11.0"/>
        <u/>
      </rPr>
      <t>Cardano cross-chain swaps with 25+ blockchains</t>
    </r>
  </si>
  <si>
    <r>
      <rPr>
        <rFont val="Calibri, sans-serif"/>
        <color rgb="FF1155CC"/>
        <sz val="11.0"/>
        <u/>
      </rPr>
      <t>High-Yield RWA on Cardano: Tokenized U.S. Real Estate</t>
    </r>
  </si>
  <si>
    <r>
      <rPr>
        <rFont val="Calibri, sans-serif"/>
        <color rgb="FF1155CC"/>
        <sz val="11.0"/>
        <u/>
      </rPr>
      <t>VESPR: Mobile Governance - Activating 100M+ ADA</t>
    </r>
  </si>
  <si>
    <r>
      <rPr>
        <rFont val="Calibri, sans-serif"/>
        <color rgb="FF1155CC"/>
        <sz val="11.0"/>
        <u/>
      </rPr>
      <t>Boosting USDM/USDA adoption with "BUY NOW, PAY LATER" loans.</t>
    </r>
  </si>
  <si>
    <r>
      <rPr>
        <rFont val="Calibri, sans-serif"/>
        <color rgb="FF1155CC"/>
        <sz val="11.0"/>
        <u/>
      </rPr>
      <t>Ethereum to Cardano Multi-Asset Bridge Powered by Wormhole</t>
    </r>
  </si>
  <si>
    <r>
      <rPr>
        <rFont val="Calibri, sans-serif"/>
        <color rgb="FF1155CC"/>
        <sz val="11.0"/>
        <u/>
      </rPr>
      <t>MLabs - Feesaswap: Decentralized Fee Trading on Cardano</t>
    </r>
  </si>
  <si>
    <r>
      <rPr>
        <rFont val="Calibri, sans-serif"/>
        <color rgb="FF1155CC"/>
        <sz val="11.0"/>
        <u/>
      </rPr>
      <t>DPP - Compliant Onchain European Digital Product Passport</t>
    </r>
  </si>
  <si>
    <r>
      <rPr>
        <rFont val="Calibri, sans-serif"/>
        <color rgb="FF1155CC"/>
        <sz val="11.0"/>
        <u/>
      </rPr>
      <t>1694.io - Open Source Governance Tooling &amp; DRep Platform</t>
    </r>
  </si>
  <si>
    <r>
      <rPr>
        <rFont val="Calibri, sans-serif"/>
        <color rgb="FF1155CC"/>
        <sz val="11.0"/>
        <u/>
      </rPr>
      <t>Real Estate Tokenization Powered by Cardano</t>
    </r>
  </si>
  <si>
    <r>
      <rPr>
        <rFont val="Calibri, sans-serif"/>
        <color rgb="FF1155CC"/>
        <sz val="11.0"/>
        <u/>
      </rPr>
      <t>AgriPass- Verified Identity, Trusted Agriculture.</t>
    </r>
  </si>
  <si>
    <r>
      <rPr>
        <rFont val="Calibri, sans-serif"/>
        <color rgb="FF1155CC"/>
        <sz val="11.0"/>
        <u/>
      </rPr>
      <t>Hypernative Real-Time Security for Cardano</t>
    </r>
  </si>
  <si>
    <r>
      <rPr>
        <rFont val="Calibri, sans-serif"/>
        <color rgb="FF1155CC"/>
        <sz val="11.0"/>
        <u/>
      </rPr>
      <t>Launching the Frax Stablecoin &amp; DeFi Ecosystem on Cardano</t>
    </r>
  </si>
  <si>
    <r>
      <rPr>
        <rFont val="Calibri, sans-serif"/>
        <color rgb="FF1155CC"/>
        <sz val="11.0"/>
        <u/>
      </rPr>
      <t>AI Agent to Break Barriers and Unlock Cardano DeFi Adoption</t>
    </r>
  </si>
  <si>
    <r>
      <rPr>
        <rFont val="Calibri, sans-serif"/>
        <color rgb="FF1155CC"/>
        <sz val="11.0"/>
        <u/>
      </rPr>
      <t>Clarity X Tempo: Cardano Governance Hub</t>
    </r>
  </si>
  <si>
    <r>
      <rPr>
        <rFont val="Calibri, sans-serif"/>
        <color rgb="FF1155CC"/>
        <sz val="11.0"/>
        <u/>
      </rPr>
      <t>Faster &amp; Trusted Cardano Oracle, 98x Cheaper vs Chainlink</t>
    </r>
  </si>
  <si>
    <r>
      <rPr>
        <rFont val="Calibri, sans-serif"/>
        <color rgb="FF1155CC"/>
        <sz val="11.0"/>
        <u/>
      </rPr>
      <t>Financial Inclusion for Unbanked Women via DID and Education</t>
    </r>
  </si>
  <si>
    <r>
      <rPr>
        <rFont val="Calibri, sans-serif"/>
        <color rgb="FF1155CC"/>
        <sz val="11.0"/>
        <u/>
      </rPr>
      <t>ISO-Compliant Forest MRV - Satellite Oracle Extension</t>
    </r>
  </si>
  <si>
    <r>
      <rPr>
        <rFont val="Calibri, sans-serif"/>
        <color rgb="FF1155CC"/>
        <sz val="11.0"/>
        <u/>
      </rPr>
      <t>Mesh UTXOS x Mercuryo (MasterCard) x Checkpoint</t>
    </r>
  </si>
  <si>
    <r>
      <rPr>
        <rFont val="Calibri, sans-serif"/>
        <color rgb="FF1155CC"/>
        <sz val="11.0"/>
        <u/>
      </rPr>
      <t>Flow V2 - Open Source Multi Collateral AMM Lending Pools</t>
    </r>
  </si>
  <si>
    <r>
      <rPr>
        <rFont val="Calibri, sans-serif"/>
        <color rgb="FF1155CC"/>
        <sz val="11.0"/>
        <u/>
      </rPr>
      <t>All-in-One Catalyst: Notifications, AI Lists &amp; Portfolios</t>
    </r>
  </si>
  <si>
    <r>
      <rPr>
        <rFont val="Calibri, sans-serif"/>
        <color rgb="FF1155CC"/>
        <sz val="11.0"/>
        <u/>
      </rPr>
      <t>Onchain Leverage Trading on Splash</t>
    </r>
  </si>
  <si>
    <r>
      <rPr>
        <rFont val="Calibri, sans-serif"/>
        <color rgb="FF1155CC"/>
        <sz val="11.0"/>
        <u/>
      </rPr>
      <t>Muzify Cardano Fan Wallet &amp; USDA Loyalty Engine</t>
    </r>
  </si>
  <si>
    <r>
      <rPr>
        <rFont val="Calibri, sans-serif"/>
        <color rgb="FF1155CC"/>
        <sz val="11.0"/>
        <u/>
      </rPr>
      <t>WFP Price Ledger: Democratizing Market Data with Blockchain</t>
    </r>
  </si>
  <si>
    <r>
      <rPr>
        <rFont val="Calibri, sans-serif"/>
        <color rgb="FF1155CC"/>
        <sz val="11.0"/>
        <u/>
      </rPr>
      <t>One-Click Insurance for transactions onCardano Chain &amp; DApps</t>
    </r>
  </si>
  <si>
    <r>
      <rPr>
        <rFont val="Calibri, sans-serif"/>
        <color rgb="FF1155CC"/>
        <sz val="11.0"/>
        <u/>
      </rPr>
      <t>Whitelabel Hydra Auctions for Gaming &amp; Defi (MLabs + Ikigai)</t>
    </r>
  </si>
  <si>
    <r>
      <rPr>
        <rFont val="Calibri, sans-serif"/>
        <color rgb="FF1155CC"/>
        <sz val="11.0"/>
        <u/>
      </rPr>
      <t>Armenia- Country Level Waste System with Plastiks.io</t>
    </r>
  </si>
  <si>
    <r>
      <rPr>
        <rFont val="Calibri, sans-serif"/>
        <color rgb="FF1155CC"/>
        <sz val="11.0"/>
        <u/>
      </rPr>
      <t>NuNet: Decentralized SPO Computing - Scaling&amp;Expansion</t>
    </r>
  </si>
  <si>
    <r>
      <rPr>
        <rFont val="Calibri, sans-serif"/>
        <color rgb="FF1155CC"/>
        <sz val="11.0"/>
        <u/>
      </rPr>
      <t>SMARTMERCH™ on Cardano — Bringing Onchain RWA to Daily Life</t>
    </r>
  </si>
  <si>
    <r>
      <rPr>
        <rFont val="Calibri, sans-serif"/>
        <color rgb="FF1155CC"/>
        <sz val="11.0"/>
        <u/>
      </rPr>
      <t>Commercial Bank Money Token CBMT on Cardano</t>
    </r>
  </si>
  <si>
    <r>
      <rPr>
        <rFont val="Calibri, sans-serif"/>
        <color rgb="FF1155CC"/>
        <sz val="11.0"/>
        <u/>
      </rPr>
      <t>BikeID Proof Of Bike Millions of Bikes Registered on Cardano</t>
    </r>
  </si>
  <si>
    <r>
      <rPr>
        <rFont val="Calibri, sans-serif"/>
        <color rgb="FF1155CC"/>
        <sz val="11.0"/>
        <u/>
      </rPr>
      <t>Juicychain: Tracing the Global Juice Supply Chain on Cardano</t>
    </r>
  </si>
  <si>
    <r>
      <rPr>
        <rFont val="Calibri, sans-serif"/>
        <color rgb="FF1155CC"/>
        <sz val="11.0"/>
        <u/>
      </rPr>
      <t>Hydra-Powered EV Battery DPP: Privacy + Transparency</t>
    </r>
  </si>
  <si>
    <r>
      <rPr>
        <rFont val="Calibri, sans-serif"/>
        <color rgb="FF1155CC"/>
        <sz val="11.0"/>
        <u/>
      </rPr>
      <t>Malama Carbon - Universal dMRV Infrastructure on Cardano</t>
    </r>
  </si>
  <si>
    <r>
      <rPr>
        <rFont val="Calibri, sans-serif"/>
        <color rgb="FF1155CC"/>
        <sz val="11.0"/>
        <u/>
      </rPr>
      <t>Bridge between Cardano, Polkadot, Ethereum and its L2s</t>
    </r>
  </si>
  <si>
    <r>
      <rPr>
        <rFont val="Calibri, sans-serif"/>
        <color rgb="FF1155CC"/>
        <sz val="11.0"/>
        <u/>
      </rPr>
      <t>LayerZero Support on Cardano Testnets</t>
    </r>
  </si>
  <si>
    <r>
      <rPr>
        <rFont val="Calibri, sans-serif"/>
        <color rgb="FF1155CC"/>
        <sz val="11.0"/>
        <u/>
      </rPr>
      <t>Ascent Rivals - Onboarding Next Million Users</t>
    </r>
  </si>
  <si>
    <r>
      <rPr>
        <rFont val="Calibri, sans-serif"/>
        <color rgb="FF1155CC"/>
        <sz val="11.0"/>
        <u/>
      </rPr>
      <t>EUR Stablecoin on Cardano - Fiat Backed and MiCA Compliant</t>
    </r>
  </si>
  <si>
    <r>
      <rPr>
        <rFont val="Calibri, sans-serif"/>
        <color rgb="FF1155CC"/>
        <sz val="11.0"/>
        <u/>
      </rPr>
      <t>WineOpSys via Originate - ERP with supply chain tracking</t>
    </r>
  </si>
  <si>
    <r>
      <rPr>
        <rFont val="Calibri, sans-serif"/>
        <color rgb="FF1155CC"/>
        <sz val="11.0"/>
        <u/>
      </rPr>
      <t>Enterprise-grade Verifiable Database,300x cheaper, 99%faster</t>
    </r>
  </si>
  <si>
    <r>
      <rPr>
        <rFont val="Calibri, sans-serif"/>
        <color rgb="FF1155CC"/>
        <sz val="11.0"/>
        <u/>
      </rPr>
      <t>Cross Chain DeFi - Perpetuals and Lending - Pondora</t>
    </r>
  </si>
  <si>
    <r>
      <rPr>
        <rFont val="Calibri, sans-serif"/>
        <color rgb="FF1155CC"/>
        <sz val="11.0"/>
        <u/>
      </rPr>
      <t>ClimateAid: Tokenized Resilience &amp; Early Action</t>
    </r>
  </si>
  <si>
    <r>
      <rPr>
        <rFont val="Calibri, sans-serif"/>
        <color rgb="FF1155CC"/>
        <sz val="11.0"/>
        <u/>
      </rPr>
      <t>Space and Time: Deploying Thousands of Mini-apps to Cardano</t>
    </r>
  </si>
  <si>
    <r>
      <rPr>
        <rFont val="Calibri, sans-serif"/>
        <color rgb="FF1155CC"/>
        <sz val="11.0"/>
        <u/>
      </rPr>
      <t>Connecting to Solana Via RosenBridge</t>
    </r>
  </si>
  <si>
    <r>
      <rPr>
        <rFont val="Calibri, sans-serif"/>
        <color rgb="FF1155CC"/>
        <sz val="11.0"/>
        <u/>
      </rPr>
      <t>Institutional Staking &amp; Governance via Colossus Hub</t>
    </r>
  </si>
  <si>
    <r>
      <rPr>
        <rFont val="Calibri, sans-serif"/>
        <color rgb="FF1155CC"/>
        <sz val="11.0"/>
        <u/>
      </rPr>
      <t>SteelSwap V2</t>
    </r>
  </si>
  <si>
    <r>
      <rPr>
        <rFont val="Calibri, sans-serif"/>
        <color rgb="FF1155CC"/>
        <sz val="11.0"/>
        <u/>
      </rPr>
      <t>Tokenized CO₂ Commitments via Plastiks Platform</t>
    </r>
  </si>
  <si>
    <r>
      <rPr>
        <rFont val="Calibri, sans-serif"/>
        <color rgb="FF1155CC"/>
        <sz val="11.0"/>
        <u/>
      </rPr>
      <t>TapDano &amp; Petrobras - Hydra &amp; NFC Presence Tracking System</t>
    </r>
  </si>
  <si>
    <r>
      <rPr>
        <rFont val="Calibri, sans-serif"/>
        <color rgb="FF1155CC"/>
        <sz val="11.0"/>
        <u/>
      </rPr>
      <t>DexHunter Advanced Order Types</t>
    </r>
  </si>
  <si>
    <r>
      <rPr>
        <rFont val="Calibri, sans-serif"/>
        <color rgb="FF1155CC"/>
        <sz val="11.0"/>
        <u/>
      </rPr>
      <t>BankFi: Asset-Backed Launches Enabling Project Longevity</t>
    </r>
  </si>
  <si>
    <r>
      <rPr>
        <rFont val="Calibri, sans-serif"/>
        <color rgb="FF1155CC"/>
        <sz val="11.0"/>
        <u/>
      </rPr>
      <t>TrustSwap(TS), STORM &amp; MLabs: Cardano TS Integration + WL</t>
    </r>
  </si>
  <si>
    <r>
      <rPr>
        <rFont val="Calibri, sans-serif"/>
        <color rgb="FF1155CC"/>
        <sz val="11.0"/>
        <u/>
      </rPr>
      <t>MLabs + J50 VENTURES: Playrz Responsible p2p Sports Platform</t>
    </r>
  </si>
  <si>
    <r>
      <rPr>
        <rFont val="Calibri, sans-serif"/>
        <color rgb="FF1155CC"/>
        <sz val="11.0"/>
        <u/>
      </rPr>
      <t>LootMogul|SuperAthlete.ai: AI+Tokenized Sports IP on Cardano</t>
    </r>
  </si>
  <si>
    <r>
      <rPr>
        <rFont val="Calibri, sans-serif"/>
        <color rgb="FF1155CC"/>
        <sz val="11.0"/>
        <u/>
      </rPr>
      <t>Bodega Market V4 - Central Limit Order Book (CLOB)</t>
    </r>
  </si>
  <si>
    <r>
      <rPr>
        <rFont val="Calibri, sans-serif"/>
        <color rgb="FF1155CC"/>
        <sz val="11.0"/>
        <u/>
      </rPr>
      <t>Scaling Cardano Adoption via K-12 Financial EdTech Platform</t>
    </r>
  </si>
  <si>
    <r>
      <rPr>
        <rFont val="Calibri, sans-serif"/>
        <color rgb="FF1155CC"/>
        <sz val="11.0"/>
        <u/>
      </rPr>
      <t>Space and Time: Secure Enterprise Data for Cardano</t>
    </r>
  </si>
  <si>
    <r>
      <rPr>
        <rFont val="Calibri, sans-serif"/>
        <color rgb="FF1155CC"/>
        <sz val="11.0"/>
        <u/>
      </rPr>
      <t>BASE and INK: Connecting Exchange Environments to CNTs</t>
    </r>
  </si>
  <si>
    <r>
      <rPr>
        <rFont val="Calibri, sans-serif"/>
        <color rgb="FF1155CC"/>
        <sz val="11.0"/>
        <u/>
      </rPr>
      <t>Integrating USDA with zerohash to access TradFi institutions</t>
    </r>
  </si>
  <si>
    <r>
      <rPr>
        <rFont val="Calibri, sans-serif"/>
        <color rgb="FF1155CC"/>
        <sz val="11.0"/>
        <u/>
      </rPr>
      <t>Rainforest Alliance: Blockchain Traceability Pilot</t>
    </r>
  </si>
  <si>
    <r>
      <rPr>
        <rFont val="Calibri, sans-serif"/>
        <color rgb="FF1155CC"/>
        <sz val="11.0"/>
        <u/>
      </rPr>
      <t>Cardano Warriors: Driving Cardano Adoption via Epic Games</t>
    </r>
  </si>
  <si>
    <r>
      <rPr>
        <rFont val="Calibri, sans-serif"/>
        <color rgb="FF1155CC"/>
        <sz val="11.0"/>
        <u/>
      </rPr>
      <t>Cardano Trade-to-Earn Hub (Powered by Iagon and Farmroll)</t>
    </r>
  </si>
  <si>
    <r>
      <rPr>
        <rFont val="Calibri, sans-serif"/>
        <color rgb="FF1155CC"/>
        <sz val="11.0"/>
        <u/>
      </rPr>
      <t>Blockchain-Based Product Distribution Tracking</t>
    </r>
  </si>
  <si>
    <r>
      <rPr>
        <rFont val="Calibri, sans-serif"/>
        <color rgb="FF1155CC"/>
        <sz val="11.0"/>
        <u/>
      </rPr>
      <t>ADANSIE ASSET MANAGEMENT SYSTEM (Adansie= Evidence in Twi)</t>
    </r>
  </si>
  <si>
    <r>
      <rPr>
        <rFont val="Calibri, sans-serif"/>
        <color rgb="FF1155CC"/>
        <sz val="11.0"/>
        <u/>
      </rPr>
      <t>DexHunter Gamify: Enhancing User Engagement via Gamification</t>
    </r>
  </si>
  <si>
    <r>
      <rPr>
        <rFont val="Calibri, sans-serif"/>
        <color rgb="FF1155CC"/>
        <sz val="11.0"/>
        <u/>
      </rPr>
      <t>PubWeave: Decentralized Peer Reviews</t>
    </r>
  </si>
  <si>
    <r>
      <rPr>
        <rFont val="Calibri, sans-serif"/>
        <color rgb="FF1155CC"/>
        <sz val="11.0"/>
        <u/>
      </rPr>
      <t>Axiom-like Advanced Cardano Trading Platform by DexHunter</t>
    </r>
  </si>
  <si>
    <r>
      <rPr>
        <rFont val="Calibri, sans-serif"/>
        <color rgb="FF1155CC"/>
        <sz val="11.0"/>
        <u/>
      </rPr>
      <t>VyFi Auto-Harvester</t>
    </r>
  </si>
  <si>
    <r>
      <rPr>
        <rFont val="Calibri, sans-serif"/>
        <color rgb="FF1155CC"/>
        <sz val="11.0"/>
        <u/>
      </rPr>
      <t>Driving Mainstream Cardano Adoption via Soccer w/ Miami FC</t>
    </r>
  </si>
  <si>
    <r>
      <rPr>
        <rFont val="Calibri, sans-serif"/>
        <color rgb="FF1155CC"/>
        <sz val="11.0"/>
        <u/>
      </rPr>
      <t>DexSwift</t>
    </r>
  </si>
  <si>
    <r>
      <rPr>
        <rFont val="Calibri, sans-serif"/>
        <color rgb="FF1155CC"/>
        <sz val="11.0"/>
        <u/>
      </rPr>
      <t>Wildcard for Cardano: Enabling Seamless Web3 Gaming</t>
    </r>
  </si>
  <si>
    <r>
      <rPr>
        <rFont val="Calibri, sans-serif"/>
        <color rgb="FF1155CC"/>
        <sz val="11.0"/>
        <u/>
      </rPr>
      <t>Levvy V3 Phase 2: Stake/Gov, Pooled &amp; Leverage</t>
    </r>
  </si>
  <si>
    <r>
      <rPr>
        <rFont val="Calibri, sans-serif"/>
        <color rgb="FF1155CC"/>
        <sz val="11.0"/>
        <u/>
      </rPr>
      <t>Cardania 2.0 Your AI Guide to Governance</t>
    </r>
  </si>
  <si>
    <r>
      <rPr>
        <rFont val="Calibri, sans-serif"/>
        <color rgb="FF1155CC"/>
        <sz val="11.0"/>
        <u/>
      </rPr>
      <t>OYA BusRide: ADA Transit Tickets, Manifest &amp; Welfare System</t>
    </r>
  </si>
  <si>
    <r>
      <rPr>
        <rFont val="Calibri, sans-serif"/>
        <color rgb="FF1155CC"/>
        <sz val="11.0"/>
        <u/>
      </rPr>
      <t>Cardano Kit for State Organisations - beHub Healthcare Dept.</t>
    </r>
  </si>
  <si>
    <r>
      <rPr>
        <rFont val="Calibri, sans-serif"/>
        <color rgb="FF1155CC"/>
        <sz val="11.0"/>
        <u/>
      </rPr>
      <t>DappRadar:Discovery Platform for Cardano Mainstream Adoption</t>
    </r>
  </si>
  <si>
    <r>
      <rPr>
        <rFont val="Calibri, sans-serif"/>
        <color rgb="FF1155CC"/>
        <sz val="11.0"/>
        <u/>
      </rPr>
      <t>CAR-dano v2: Tokenize Car Inspections → RWA Market Catalyst</t>
    </r>
  </si>
  <si>
    <r>
      <rPr>
        <rFont val="Calibri, sans-serif"/>
        <color rgb="FF1155CC"/>
        <sz val="11.0"/>
        <u/>
      </rPr>
      <t>Cardano on Bubblemaps V2 (Ft. DexHunter)</t>
    </r>
  </si>
  <si>
    <r>
      <rPr>
        <rFont val="Calibri, sans-serif"/>
        <color rgb="FF1155CC"/>
        <sz val="11.0"/>
        <u/>
      </rPr>
      <t>Proof-of-Climate: Verified Environmental Assets on Cardano</t>
    </r>
  </si>
  <si>
    <r>
      <rPr>
        <rFont val="Calibri, sans-serif"/>
        <color rgb="FF1155CC"/>
        <sz val="11.0"/>
        <u/>
      </rPr>
      <t>Build with journalists, trust incentivizing media pilot.</t>
    </r>
  </si>
  <si>
    <r>
      <rPr>
        <rFont val="Calibri, sans-serif"/>
        <color rgb="FF1155CC"/>
        <sz val="11.0"/>
        <u/>
      </rPr>
      <t>9Z Globant + Cardano: Opening e-sports for Cardano</t>
    </r>
  </si>
  <si>
    <r>
      <rPr>
        <rFont val="Calibri, sans-serif"/>
        <color rgb="FF1155CC"/>
        <sz val="11.0"/>
        <u/>
      </rPr>
      <t>Trusted Product Reviews on Cardano Blockchain</t>
    </r>
  </si>
  <si>
    <r>
      <rPr>
        <rFont val="Calibri, sans-serif"/>
        <color rgb="FF1155CC"/>
        <sz val="11.0"/>
        <u/>
      </rPr>
      <t>Walkers - Gamification for Mass Adoption!</t>
    </r>
  </si>
  <si>
    <r>
      <rPr>
        <rFont val="Calibri, sans-serif"/>
        <color rgb="FF1155CC"/>
        <sz val="11.0"/>
        <u/>
      </rPr>
      <t>First-Class Cardano Support for GridPlus Hardware</t>
    </r>
  </si>
  <si>
    <r>
      <rPr>
        <rFont val="Calibri, sans-serif"/>
        <color rgb="FF1155CC"/>
        <sz val="11.0"/>
        <u/>
      </rPr>
      <t>Trusted Product Transparency on Blockchain</t>
    </r>
  </si>
  <si>
    <r>
      <rPr>
        <rFont val="Calibri, sans-serif"/>
        <color rgb="FF1155CC"/>
        <sz val="11.0"/>
        <u/>
      </rPr>
      <t>Activating IPDC Blockchain through Real Broadcasting Waves</t>
    </r>
  </si>
  <si>
    <r>
      <rPr>
        <rFont val="Calibri, sans-serif"/>
        <color rgb="FF1155CC"/>
        <sz val="11.0"/>
        <u/>
      </rPr>
      <t>Integration of DIA Price Oracles on Cardano</t>
    </r>
  </si>
  <si>
    <r>
      <rPr>
        <rFont val="Calibri, sans-serif"/>
        <color rgb="FF1155CC"/>
        <sz val="11.0"/>
        <u/>
      </rPr>
      <t>MIRAI Memories Bank ーProject Echoes of the Heartー</t>
    </r>
  </si>
  <si>
    <r>
      <rPr>
        <rFont val="Calibri, sans-serif"/>
        <color rgb="FF1155CC"/>
        <sz val="11.0"/>
        <u/>
      </rPr>
      <t>Hydra Minecraft</t>
    </r>
  </si>
  <si>
    <r>
      <rPr>
        <rFont val="Calibri, sans-serif"/>
        <color rgb="FF1155CC"/>
        <sz val="11.0"/>
        <u/>
      </rPr>
      <t>VESPR: AI Bridge to Cardano 🤖 | For Claude, GPT &amp; AI Agents</t>
    </r>
  </si>
  <si>
    <r>
      <rPr>
        <rFont val="Calibri, sans-serif"/>
        <color rgb="FF1155CC"/>
        <sz val="11.0"/>
        <u/>
      </rPr>
      <t>A Token-Incentivized Mental Health Ecosystem Using DID</t>
    </r>
  </si>
  <si>
    <r>
      <rPr>
        <rFont val="Calibri, sans-serif"/>
        <color rgb="FF1155CC"/>
        <sz val="11.0"/>
        <u/>
      </rPr>
      <t>MidnightZK Data-Marketplace for Authentic Human Data: Nuauth</t>
    </r>
  </si>
  <si>
    <r>
      <rPr>
        <rFont val="Calibri, sans-serif"/>
        <color rgb="FF1155CC"/>
        <sz val="11.0"/>
        <u/>
      </rPr>
      <t>Anti-Front-Running ZKPerps on Cardano w/MidnightZK</t>
    </r>
  </si>
  <si>
    <r>
      <rPr>
        <rFont val="Calibri, sans-serif"/>
        <color rgb="FF1155CC"/>
        <sz val="11.0"/>
        <u/>
      </rPr>
      <t>Trace It: Driving Mass Adoption via Universal Traceability</t>
    </r>
  </si>
  <si>
    <r>
      <rPr>
        <rFont val="Calibri, sans-serif"/>
        <color rgb="FF1155CC"/>
        <sz val="11.0"/>
        <u/>
      </rPr>
      <t>HashiRWA: Bridging Japan’s Agri RWA with AI</t>
    </r>
  </si>
  <si>
    <r>
      <rPr>
        <rFont val="Calibri, sans-serif"/>
        <color rgb="FF1155CC"/>
        <sz val="11.0"/>
        <u/>
      </rPr>
      <t>GY Options trading</t>
    </r>
  </si>
  <si>
    <r>
      <rPr>
        <rFont val="Calibri, sans-serif"/>
        <color rgb="FF1155CC"/>
        <sz val="11.0"/>
        <u/>
      </rPr>
      <t>Kima: Interoperability Layer for Cardano Ecosystem</t>
    </r>
  </si>
  <si>
    <r>
      <rPr>
        <rFont val="Calibri, sans-serif"/>
        <color rgb="FF1155CC"/>
        <sz val="11.0"/>
        <u/>
      </rPr>
      <t>CHARLI3 Discord/Telegram Token Data and Multi-DEX swap bot</t>
    </r>
  </si>
  <si>
    <r>
      <rPr>
        <rFont val="Calibri, sans-serif"/>
        <color rgb="FF1155CC"/>
        <sz val="11.0"/>
        <u/>
      </rPr>
      <t>SIDAN - Delegator Feedback System for DRep Voting</t>
    </r>
  </si>
  <si>
    <r>
      <rPr>
        <rFont val="Calibri, sans-serif"/>
        <color rgb="FF1155CC"/>
        <sz val="11.0"/>
        <u/>
      </rPr>
      <t>NODO: Cardano’s AI Liquidity Layer for USDA, USDM &amp; RWAs</t>
    </r>
  </si>
  <si>
    <r>
      <rPr>
        <rFont val="Calibri, sans-serif"/>
        <color rgb="FF1155CC"/>
        <sz val="11.0"/>
        <u/>
      </rPr>
      <t>Decentralized On-Chain Data Encryption</t>
    </r>
  </si>
  <si>
    <r>
      <rPr>
        <rFont val="Calibri, sans-serif"/>
        <color rgb="FF1155CC"/>
        <sz val="11.0"/>
        <u/>
      </rPr>
      <t>Ekklesia: High-Frequency Voting on Cardano with Hydra</t>
    </r>
  </si>
  <si>
    <r>
      <rPr>
        <rFont val="Calibri, sans-serif"/>
        <color rgb="FF1155CC"/>
        <sz val="11.0"/>
        <u/>
      </rPr>
      <t>Prisma DIDs: Decentralized IDs for Verifiable Contributions</t>
    </r>
  </si>
  <si>
    <r>
      <rPr>
        <rFont val="Calibri, sans-serif"/>
        <color rgb="FF1155CC"/>
        <sz val="11.0"/>
        <u/>
      </rPr>
      <t>EUDI4Cardano – Interoperability of EUDI Wallets with Cardano</t>
    </r>
  </si>
  <si>
    <r>
      <rPr>
        <rFont val="Calibri, sans-serif"/>
        <color rgb="FF1155CC"/>
        <sz val="11.0"/>
        <u/>
      </rPr>
      <t>Cardano NFT Ticketing &amp; Conference Goer Platform by Rare Evo</t>
    </r>
  </si>
  <si>
    <r>
      <rPr>
        <rFont val="Calibri, sans-serif"/>
        <color rgb="FF1155CC"/>
        <sz val="11.0"/>
        <u/>
      </rPr>
      <t>Cardano Bond Exchange: Trading Zero-Coupon Bond (RWA)</t>
    </r>
  </si>
  <si>
    <r>
      <rPr>
        <rFont val="Calibri, sans-serif"/>
        <color rgb="FF1155CC"/>
        <sz val="11.0"/>
        <u/>
      </rPr>
      <t>VeriScript - On-chain source code verification</t>
    </r>
  </si>
  <si>
    <r>
      <rPr>
        <rFont val="Calibri, sans-serif"/>
        <color rgb="FF1155CC"/>
        <sz val="11.0"/>
        <u/>
      </rPr>
      <t>Funding Assessment &amp; Impact Framework</t>
    </r>
  </si>
  <si>
    <r>
      <rPr>
        <rFont val="Calibri, sans-serif"/>
        <color rgb="FF1155CC"/>
        <sz val="11.0"/>
        <u/>
      </rPr>
      <t>Kamino + Cardano: earn yield with your Cardano assets</t>
    </r>
  </si>
  <si>
    <r>
      <rPr>
        <rFont val="Calibri, sans-serif"/>
        <color rgb="FF1155CC"/>
        <sz val="11.0"/>
        <u/>
      </rPr>
      <t>DRep DAO Platform</t>
    </r>
  </si>
  <si>
    <r>
      <rPr>
        <rFont val="Calibri, sans-serif"/>
        <color rgb="FF1155CC"/>
        <sz val="11.0"/>
        <u/>
      </rPr>
      <t>Bitcoin &lt;&gt; Cardano Atomic Swaps</t>
    </r>
  </si>
  <si>
    <r>
      <rPr>
        <rFont val="Calibri, sans-serif"/>
        <color rgb="FF1155CC"/>
        <sz val="11.0"/>
        <u/>
      </rPr>
      <t>Cardano Treasury Explorer Open Data Source - ADAspending.com</t>
    </r>
  </si>
  <si>
    <r>
      <rPr>
        <rFont val="Calibri, sans-serif"/>
        <color rgb="FF1155CC"/>
        <sz val="11.0"/>
        <u/>
      </rPr>
      <t>MLabs + Cardano Racers Team Up for Hydra Powered Gaming</t>
    </r>
  </si>
  <si>
    <r>
      <rPr>
        <rFont val="Calibri, sans-serif"/>
        <color rgb="FF1155CC"/>
        <sz val="11.0"/>
        <u/>
      </rPr>
      <t>Cardano SeedSigner: DIY air-gapped Hardware Wallet</t>
    </r>
  </si>
  <si>
    <r>
      <rPr>
        <rFont val="Calibri, sans-serif"/>
        <color rgb="FF1155CC"/>
        <sz val="11.0"/>
        <u/>
      </rPr>
      <t>SeerBOT: The next generation trading platform on Cardano</t>
    </r>
  </si>
  <si>
    <r>
      <rPr>
        <rFont val="Calibri, sans-serif"/>
        <color rgb="FF1155CC"/>
        <sz val="11.0"/>
        <u/>
      </rPr>
      <t>NuNet: Secure framework for Edge AI with on-chain payments</t>
    </r>
  </si>
  <si>
    <r>
      <rPr>
        <rFont val="Calibri, sans-serif"/>
        <color rgb="FF1155CC"/>
        <sz val="11.0"/>
        <u/>
      </rPr>
      <t>Hydra Hub – SaaS Node Distribution System Phase 1</t>
    </r>
  </si>
  <si>
    <r>
      <rPr>
        <rFont val="Calibri, sans-serif"/>
        <color rgb="FF1155CC"/>
        <sz val="11.0"/>
        <u/>
      </rPr>
      <t>Anvil - Semi-Custodial Wallet: Enterprise ready Wallet SDK</t>
    </r>
  </si>
  <si>
    <r>
      <rPr>
        <rFont val="Calibri, sans-serif"/>
        <color rgb="FF1155CC"/>
        <sz val="11.0"/>
        <u/>
      </rPr>
      <t>Cardano Music Royalties: Instant, Transparent Payouts</t>
    </r>
  </si>
  <si>
    <r>
      <rPr>
        <rFont val="Calibri, sans-serif"/>
        <color rgb="FF1155CC"/>
        <sz val="11.0"/>
        <u/>
      </rPr>
      <t>Quex oracles</t>
    </r>
  </si>
  <si>
    <r>
      <rPr>
        <rFont val="Calibri, sans-serif"/>
        <color rgb="FF1155CC"/>
        <sz val="11.0"/>
        <u/>
      </rPr>
      <t>Real-World Real Estate Pre-Sale with Proof &amp; Release</t>
    </r>
  </si>
  <si>
    <r>
      <rPr>
        <rFont val="Calibri, sans-serif"/>
        <color rgb="FF1155CC"/>
        <sz val="11.0"/>
        <u/>
      </rPr>
      <t>ZK Login in Cardano - Eryx</t>
    </r>
  </si>
  <si>
    <r>
      <rPr>
        <rFont val="Calibri, sans-serif"/>
        <color rgb="FF1155CC"/>
        <sz val="11.0"/>
        <u/>
      </rPr>
      <t>Rolling Loans: Continuous Borrowing on Danogo</t>
    </r>
  </si>
  <si>
    <r>
      <rPr>
        <rFont val="Calibri, sans-serif"/>
        <color rgb="FF1155CC"/>
        <sz val="11.0"/>
        <u/>
      </rPr>
      <t>Pre-IPO Perpetuals: Trade Private Companies on Cardano</t>
    </r>
  </si>
  <si>
    <r>
      <rPr>
        <rFont val="Calibri, sans-serif"/>
        <color rgb="FF1155CC"/>
        <sz val="11.0"/>
        <u/>
      </rPr>
      <t>[Aladin] Securing Fair Pay for Freelancers Globally</t>
    </r>
  </si>
  <si>
    <r>
      <rPr>
        <rFont val="Calibri, sans-serif"/>
        <color rgb="FF1155CC"/>
        <sz val="11.0"/>
        <u/>
      </rPr>
      <t>Cardano-Powered KYC &amp; Digital Identity System for Ethiopia</t>
    </r>
  </si>
  <si>
    <r>
      <rPr>
        <rFont val="Calibri, sans-serif"/>
        <color rgb="FF1155CC"/>
        <sz val="11.0"/>
        <u/>
      </rPr>
      <t>TEE-based block assembly engine for Cardano</t>
    </r>
  </si>
  <si>
    <r>
      <rPr>
        <rFont val="Calibri, sans-serif"/>
        <color rgb="FF1155CC"/>
        <sz val="11.0"/>
        <u/>
      </rPr>
      <t>Empowering Future Stars: Cardano Footballer Tokens</t>
    </r>
  </si>
  <si>
    <r>
      <rPr>
        <rFont val="Calibri, sans-serif"/>
        <color rgb="FF1155CC"/>
        <sz val="11.0"/>
        <u/>
      </rPr>
      <t>Hydra-Powered M-SCI RPG Shooter: Next-Gen GameFi on Cardano</t>
    </r>
  </si>
  <si>
    <r>
      <rPr>
        <rFont val="Calibri, sans-serif"/>
        <color rgb="FF1155CC"/>
        <sz val="11.0"/>
        <u/>
      </rPr>
      <t>[Aladin] Building a Global Reputation for Freelancers</t>
    </r>
  </si>
  <si>
    <r>
      <rPr>
        <rFont val="Calibri, sans-serif"/>
        <color rgb="FF1155CC"/>
        <sz val="11.0"/>
        <u/>
      </rPr>
      <t>Midnight and Atala Prism Enabled Medical DID</t>
    </r>
  </si>
  <si>
    <r>
      <rPr>
        <rFont val="Calibri, sans-serif"/>
        <color rgb="FF1155CC"/>
        <sz val="11.0"/>
        <u/>
      </rPr>
      <t>[Aladin] Protecting User Privacy with Digital Identity</t>
    </r>
  </si>
  <si>
    <r>
      <rPr>
        <rFont val="Calibri, sans-serif"/>
        <color rgb="FF1155CC"/>
        <sz val="11.0"/>
        <u/>
      </rPr>
      <t>Prisma Potentialise: Action-learning Journeys Orchestrator</t>
    </r>
  </si>
  <si>
    <r>
      <rPr>
        <rFont val="Calibri, sans-serif"/>
        <color rgb="FF1155CC"/>
        <sz val="11.0"/>
        <u/>
      </rPr>
      <t>ANGO: RWA NFTs to Revitalize Rural Japan</t>
    </r>
  </si>
  <si>
    <r>
      <rPr>
        <rFont val="Calibri, sans-serif"/>
        <color rgb="FF1155CC"/>
        <sz val="11.0"/>
        <u/>
      </rPr>
      <t>[Aladin] Ensuring Fair Justice for On-Chain Disputes</t>
    </r>
  </si>
  <si>
    <r>
      <rPr>
        <rFont val="Calibri, sans-serif"/>
        <color rgb="FF1155CC"/>
        <sz val="11.0"/>
        <u/>
      </rPr>
      <t>Decentralized Governance Lending for On-chain GAs</t>
    </r>
  </si>
  <si>
    <r>
      <rPr>
        <rFont val="Calibri, sans-serif"/>
        <color rgb="FF1155CC"/>
        <sz val="11.0"/>
        <u/>
      </rPr>
      <t>Prisma Timelining: Voice-based Contribution Accounting</t>
    </r>
  </si>
  <si>
    <r>
      <rPr>
        <rFont val="Calibri, sans-serif"/>
        <color rgb="FF1155CC"/>
        <sz val="11.0"/>
        <u/>
      </rPr>
      <t>d-FCT: Smart Contract Integration and Feature Refinement</t>
    </r>
  </si>
  <si>
    <r>
      <rPr>
        <rFont val="Calibri, sans-serif"/>
        <color rgb="FF1155CC"/>
        <sz val="11.0"/>
        <u/>
      </rPr>
      <t>NuNet: Enabling GPU clusters - Scaling&amp;Expansion</t>
    </r>
  </si>
  <si>
    <r>
      <rPr>
        <rFont val="Calibri, sans-serif"/>
        <color rgb="FF1155CC"/>
        <sz val="11.0"/>
        <u/>
      </rPr>
      <t>LeadgenDAO: Business Lead Generation for Cardano dApps</t>
    </r>
  </si>
  <si>
    <r>
      <rPr>
        <rFont val="Calibri, sans-serif"/>
        <color rgb="FF1155CC"/>
        <sz val="11.0"/>
        <u/>
      </rPr>
      <t>Hydra-Based Roaming Settlement System for Teleco Operators</t>
    </r>
  </si>
  <si>
    <r>
      <rPr>
        <rFont val="Calibri, sans-serif"/>
        <color rgb="FF1155CC"/>
        <sz val="11.0"/>
        <u/>
      </rPr>
      <t>Cardano–Bitcoin Atomic Swaps: Trustless DeFi by Garden/Tokeo</t>
    </r>
  </si>
  <si>
    <r>
      <rPr>
        <rFont val="Calibri, sans-serif"/>
        <color rgb="FF1155CC"/>
        <sz val="11.0"/>
        <u/>
      </rPr>
      <t>Mesh: Tools &amp; Docs for AI Models/Workflows</t>
    </r>
  </si>
  <si>
    <r>
      <rPr>
        <rFont val="Calibri, sans-serif"/>
        <color rgb="FF1155CC"/>
        <sz val="11.0"/>
        <u/>
      </rPr>
      <t>Gero - ZkFiat: The Future of Confidential Compliance</t>
    </r>
  </si>
  <si>
    <r>
      <rPr>
        <rFont val="Calibri, sans-serif"/>
        <color rgb="FF1155CC"/>
        <sz val="11.0"/>
        <u/>
      </rPr>
      <t>From Chat to Checkout: Autonomous AI Payments via Cardano</t>
    </r>
  </si>
  <si>
    <r>
      <rPr>
        <rFont val="Calibri, sans-serif"/>
        <color rgb="FF1155CC"/>
        <sz val="11.0"/>
        <u/>
      </rPr>
      <t>RWA Cross-Chain Bridge Adapter for Stablecoin Distribution</t>
    </r>
  </si>
  <si>
    <r>
      <rPr>
        <rFont val="Calibri, sans-serif"/>
        <color rgb="FF1155CC"/>
        <sz val="11.0"/>
        <u/>
      </rPr>
      <t>BendingAI – Free Analytics APIs for the Cardano Ecosystem</t>
    </r>
  </si>
  <si>
    <r>
      <rPr>
        <rFont val="Calibri, sans-serif"/>
        <color rgb="FF1155CC"/>
        <sz val="11.0"/>
        <u/>
      </rPr>
      <t>Hydra Powered Gamified Badges for Blockchain Conferences</t>
    </r>
  </si>
  <si>
    <r>
      <rPr>
        <rFont val="Calibri, sans-serif"/>
        <color rgb="FF1155CC"/>
        <sz val="11.0"/>
        <u/>
      </rPr>
      <t>Reef Data: IAGON and Cardano as Data Layers for Data Coop</t>
    </r>
  </si>
  <si>
    <r>
      <rPr>
        <rFont val="Calibri, sans-serif"/>
        <color rgb="FF1155CC"/>
        <sz val="11.0"/>
        <u/>
      </rPr>
      <t>AI x IP Platform from Japan, Unlock $80T+ Market</t>
    </r>
  </si>
  <si>
    <r>
      <rPr>
        <rFont val="Calibri, sans-serif"/>
        <color rgb="FF1155CC"/>
        <sz val="11.0"/>
        <u/>
      </rPr>
      <t>Permissionless Global P2P &amp; Grid trading</t>
    </r>
  </si>
  <si>
    <r>
      <rPr>
        <rFont val="Calibri, sans-serif"/>
        <color rgb="FF1155CC"/>
        <sz val="11.0"/>
        <u/>
      </rPr>
      <t>Ultimate Domination: Bringing More Gamers to Cardano</t>
    </r>
  </si>
  <si>
    <r>
      <rPr>
        <rFont val="Calibri, sans-serif"/>
        <color rgb="FF1155CC"/>
        <sz val="11.0"/>
        <u/>
      </rPr>
      <t>Add Mobile Money (Mpesa) Smart Contract Bridge for Amana</t>
    </r>
  </si>
  <si>
    <r>
      <rPr>
        <rFont val="Calibri, sans-serif"/>
        <color rgb="FF1155CC"/>
        <sz val="11.0"/>
        <u/>
      </rPr>
      <t>Isomorphic Cryptographic Asset Repository (Iso-CAR)</t>
    </r>
  </si>
  <si>
    <r>
      <rPr>
        <rFont val="Calibri, sans-serif"/>
        <color rgb="FF1155CC"/>
        <sz val="11.0"/>
        <u/>
      </rPr>
      <t>Hydra Auctions: Driving Real-World ADA Utility</t>
    </r>
  </si>
  <si>
    <r>
      <rPr>
        <rFont val="Calibri, sans-serif"/>
        <color rgb="FF1155CC"/>
        <sz val="11.0"/>
        <u/>
      </rPr>
      <t>Integration of MatterFi “Send to Name” Technologies for ADA</t>
    </r>
  </si>
  <si>
    <r>
      <rPr>
        <rFont val="Calibri, sans-serif"/>
        <color rgb="FF1155CC"/>
        <sz val="11.0"/>
        <u/>
      </rPr>
      <t>CO₂Tracking in the Fuel &amp; Fleet Card Industry w/ UTA Edenred</t>
    </r>
  </si>
  <si>
    <r>
      <rPr>
        <rFont val="Calibri, sans-serif"/>
        <color rgb="FF1155CC"/>
        <sz val="11.0"/>
        <u/>
      </rPr>
      <t>Blockchain-Based Invoicing &amp; Payments Platform -InvoiceChain</t>
    </r>
  </si>
  <si>
    <r>
      <rPr>
        <rFont val="Calibri, sans-serif"/>
        <color rgb="FF1155CC"/>
        <sz val="11.0"/>
        <u/>
      </rPr>
      <t>Offline Community Wallet &amp; Partner Management Portal</t>
    </r>
  </si>
  <si>
    <r>
      <rPr>
        <rFont val="Calibri, sans-serif"/>
        <color rgb="FF1155CC"/>
        <sz val="11.0"/>
        <u/>
      </rPr>
      <t>One-Click Midnight: Smart Contract Deployment Platform</t>
    </r>
  </si>
  <si>
    <r>
      <rPr>
        <rFont val="Calibri, sans-serif"/>
        <color rgb="FF1155CC"/>
        <sz val="11.0"/>
        <u/>
      </rPr>
      <t>Cardano dApp Radar: A Community-Curated Discovery Hub</t>
    </r>
  </si>
  <si>
    <r>
      <rPr>
        <rFont val="Calibri, sans-serif"/>
        <color rgb="FF1155CC"/>
        <sz val="11.0"/>
        <u/>
      </rPr>
      <t>Next-Gen Open Orderbook Exchange</t>
    </r>
  </si>
  <si>
    <r>
      <rPr>
        <rFont val="Calibri, sans-serif"/>
        <color rgb="FF1155CC"/>
        <sz val="11.0"/>
        <u/>
      </rPr>
      <t>Project-Specific Cardano–Midnight Token Bridge</t>
    </r>
  </si>
  <si>
    <r>
      <rPr>
        <rFont val="Calibri, sans-serif"/>
        <color rgb="FF1155CC"/>
        <sz val="11.0"/>
        <u/>
      </rPr>
      <t>Your Self-Custodial Blockchain Will on Cardano - GenWealth</t>
    </r>
  </si>
  <si>
    <r>
      <rPr>
        <rFont val="Calibri, sans-serif"/>
        <color rgb="FF1155CC"/>
        <sz val="11.0"/>
        <u/>
      </rPr>
      <t>Farm-to-Fork Pilot with Cardano Foundation Originate</t>
    </r>
  </si>
  <si>
    <r>
      <rPr>
        <rFont val="Calibri, sans-serif"/>
        <color rgb="FF1155CC"/>
        <sz val="11.0"/>
        <u/>
      </rPr>
      <t>Auto Limit orders for Market Making on Cardano</t>
    </r>
  </si>
  <si>
    <r>
      <rPr>
        <rFont val="Calibri, sans-serif"/>
        <color rgb="FF1155CC"/>
        <sz val="11.0"/>
        <u/>
      </rPr>
      <t>Monetized Auto Market Making &amp; Portfolio Manager Marketplace</t>
    </r>
  </si>
  <si>
    <r>
      <rPr>
        <rFont val="Calibri, sans-serif"/>
        <color rgb="FF1155CC"/>
        <sz val="11.0"/>
        <u/>
      </rPr>
      <t>Sendr: A DAO to hack the X algorithm and push ADA narratives</t>
    </r>
  </si>
  <si>
    <r>
      <rPr>
        <rFont val="Calibri, sans-serif"/>
        <color rgb="FF1155CC"/>
        <sz val="11.0"/>
        <u/>
      </rPr>
      <t>Faster E2E DApp Testing with Private Network by Dquadrant</t>
    </r>
  </si>
  <si>
    <r>
      <rPr>
        <rFont val="Calibri, sans-serif"/>
        <color rgb="FF1155CC"/>
        <sz val="11.0"/>
        <u/>
      </rPr>
      <t>SteelSwap - AI Cardano Chain Decompiler Prototype</t>
    </r>
  </si>
  <si>
    <r>
      <rPr>
        <rFont val="Calibri, sans-serif"/>
        <color rgb="FF1155CC"/>
        <sz val="11.0"/>
        <u/>
      </rPr>
      <t>Cardano, Midnight &amp; Catalyst Ecosystem Health Analytics tool</t>
    </r>
  </si>
  <si>
    <r>
      <rPr>
        <rFont val="Calibri, sans-serif"/>
        <color rgb="FF1155CC"/>
        <sz val="11.0"/>
        <u/>
      </rPr>
      <t>Liquidity Hub: A New Multi-DEX Liquidity Pool Aggregator</t>
    </r>
  </si>
  <si>
    <r>
      <rPr>
        <rFont val="Calibri, sans-serif"/>
        <color rgb="FF1155CC"/>
        <sz val="11.0"/>
        <u/>
      </rPr>
      <t>Cardano Enterprise AI-Powered CyberSecurity</t>
    </r>
  </si>
  <si>
    <r>
      <rPr>
        <rFont val="Calibri, sans-serif"/>
        <color rgb="FF1155CC"/>
        <sz val="11.0"/>
        <u/>
      </rPr>
      <t>VetShare ZKP 🕛 - Veterinary Research Network on Midnight</t>
    </r>
  </si>
  <si>
    <r>
      <rPr>
        <rFont val="Calibri, sans-serif"/>
        <color rgb="FF1155CC"/>
        <sz val="11.0"/>
        <u/>
      </rPr>
      <t>AI-Powered Real-Time Fraud Detection for Cardano DeFi</t>
    </r>
  </si>
  <si>
    <r>
      <rPr>
        <rFont val="Calibri, sans-serif"/>
        <color rgb="FF1155CC"/>
        <sz val="11.0"/>
        <u/>
      </rPr>
      <t>KnightSafe: Stablecoin Vault with Staking &amp; DEX Access</t>
    </r>
  </si>
  <si>
    <r>
      <rPr>
        <rFont val="Calibri, sans-serif"/>
        <color rgb="FF1155CC"/>
        <sz val="11.0"/>
        <u/>
      </rPr>
      <t>CardanoRaffle: An Open Source Community Tool</t>
    </r>
  </si>
  <si>
    <r>
      <rPr>
        <rFont val="Calibri, sans-serif"/>
        <color rgb="FF1155CC"/>
        <sz val="11.0"/>
        <u/>
      </rPr>
      <t>First Cardano Research Library with On-chain verification</t>
    </r>
  </si>
  <si>
    <r>
      <rPr>
        <rFont val="Calibri, sans-serif"/>
        <color rgb="FF1155CC"/>
        <sz val="11.0"/>
        <u/>
      </rPr>
      <t>Cardano AI Powered GTM Intelligence On-Chain Growth Engine</t>
    </r>
  </si>
  <si>
    <r>
      <rPr>
        <rFont val="Calibri, sans-serif"/>
        <color rgb="FF1155CC"/>
        <sz val="11.0"/>
        <u/>
      </rPr>
      <t>K3 Labs and Waffle Capital | initial AI Automation MVP</t>
    </r>
  </si>
  <si>
    <r>
      <rPr>
        <rFont val="Calibri, sans-serif"/>
        <color rgb="FF1155CC"/>
        <sz val="11.0"/>
        <u/>
      </rPr>
      <t>Cardano Random Lottery – Fair Decentralized Draw</t>
    </r>
  </si>
  <si>
    <r>
      <rPr>
        <rFont val="Calibri, sans-serif"/>
        <color rgb="FF1155CC"/>
        <sz val="11.0"/>
        <u/>
      </rPr>
      <t>Cardano for Salesforce</t>
    </r>
  </si>
  <si>
    <r>
      <rPr>
        <rFont val="Calibri, sans-serif"/>
        <color rgb="FF1155CC"/>
        <sz val="11.0"/>
        <u/>
      </rPr>
      <t>HydroTrace - Trustworthy Water Allocation and Tracing</t>
    </r>
  </si>
  <si>
    <r>
      <rPr>
        <rFont val="Calibri, sans-serif"/>
        <color rgb="FF1155CC"/>
        <sz val="11.0"/>
        <u/>
      </rPr>
      <t>Non-Custodial AI Trading Bot on Cardano</t>
    </r>
  </si>
  <si>
    <r>
      <rPr>
        <rFont val="Calibri, sans-serif"/>
        <color rgb="FF1155CC"/>
        <sz val="11.0"/>
        <u/>
      </rPr>
      <t>Monetizing the World’s Sensor Data - Powered by Hydra</t>
    </r>
  </si>
  <si>
    <r>
      <rPr>
        <rFont val="Calibri, sans-serif"/>
        <color rgb="FF1155CC"/>
        <sz val="11.0"/>
        <u/>
      </rPr>
      <t>Aquara: The World’s First Decentralized Water Fund</t>
    </r>
  </si>
  <si>
    <r>
      <rPr>
        <rFont val="Calibri, sans-serif"/>
        <color rgb="FF1155CC"/>
        <sz val="11.0"/>
        <u/>
      </rPr>
      <t>Cardano AI Oracle: Real-World Data On-Chain</t>
    </r>
  </si>
  <si>
    <r>
      <rPr>
        <rFont val="Calibri, sans-serif"/>
        <color rgb="FF1155CC"/>
        <sz val="11.0"/>
        <u/>
      </rPr>
      <t>DRep AI Assistant: Support for Governance, SPOs and Reeve</t>
    </r>
  </si>
  <si>
    <r>
      <rPr>
        <rFont val="Calibri, sans-serif"/>
        <color rgb="FF1155CC"/>
        <sz val="11.0"/>
        <u/>
      </rPr>
      <t>Web3Hotels.com - Cardano based Hotel Booking Platform MVP</t>
    </r>
  </si>
  <si>
    <r>
      <rPr>
        <rFont val="Calibri, sans-serif"/>
        <color rgb="FF1155CC"/>
        <sz val="11.0"/>
        <u/>
      </rPr>
      <t>SmartContract - Collaterized Debt Obligations for Mortgages</t>
    </r>
  </si>
  <si>
    <r>
      <rPr>
        <rFont val="Calibri, sans-serif"/>
        <color rgb="FF1155CC"/>
        <sz val="11.0"/>
        <u/>
      </rPr>
      <t>Cardano Notification Protocol (CNP)</t>
    </r>
  </si>
  <si>
    <r>
      <rPr>
        <rFont val="Calibri, sans-serif"/>
        <color rgb="FF1155CC"/>
        <sz val="11.0"/>
        <u/>
      </rPr>
      <t>Creating Cardano Business cases through Real Coffee World</t>
    </r>
  </si>
  <si>
    <r>
      <rPr>
        <rFont val="Calibri, sans-serif"/>
        <color rgb="FF1155CC"/>
        <sz val="11.0"/>
        <u/>
      </rPr>
      <t>Safe &amp; Trusted OTC Trading with Reputation on Cardano</t>
    </r>
  </si>
  <si>
    <r>
      <rPr>
        <rFont val="Calibri, sans-serif"/>
        <color rgb="FF1155CC"/>
        <sz val="11.0"/>
        <u/>
      </rPr>
      <t>Smart Telecom Agreements on Cardano – TMF Standard TMFC039</t>
    </r>
  </si>
  <si>
    <r>
      <rPr>
        <rFont val="Calibri, sans-serif"/>
        <color rgb="FF1155CC"/>
        <sz val="11.0"/>
        <u/>
      </rPr>
      <t>Keep Your Organs, Let Us Buy the Summit Tickets</t>
    </r>
  </si>
  <si>
    <r>
      <rPr>
        <rFont val="Calibri, sans-serif"/>
        <color rgb="FF1155CC"/>
        <sz val="11.0"/>
        <u/>
      </rPr>
      <t>UE NMKR Connect 🔌 - Cardano NFT Plugin for Unreal Engine 5</t>
    </r>
  </si>
  <si>
    <r>
      <rPr>
        <rFont val="Calibri, sans-serif"/>
        <color rgb="FF1155CC"/>
        <sz val="11.0"/>
        <u/>
      </rPr>
      <t>Specialty Coffee Traceability Using Cardano Smartcontract</t>
    </r>
  </si>
  <si>
    <r>
      <rPr>
        <rFont val="Calibri, sans-serif"/>
        <color rgb="FF1155CC"/>
        <sz val="11.0"/>
        <u/>
      </rPr>
      <t>[Spidex] AI-Powered Risk Analysis Tool for Cardano DeFi</t>
    </r>
  </si>
  <si>
    <r>
      <rPr>
        <rFont val="Calibri, sans-serif"/>
        <color rgb="FF1155CC"/>
        <sz val="11.0"/>
        <u/>
      </rPr>
      <t>On-chain Verifiable Chemistry</t>
    </r>
  </si>
  <si>
    <r>
      <rPr>
        <rFont val="Calibri, sans-serif"/>
        <color rgb="FF1155CC"/>
        <sz val="11.0"/>
        <u/>
      </rPr>
      <t>Successful Crypto Payments App Bringing 50K+ TXs to Cardano</t>
    </r>
  </si>
  <si>
    <r>
      <rPr>
        <rFont val="Calibri, sans-serif"/>
        <color rgb="FF1155CC"/>
        <sz val="11.0"/>
        <u/>
      </rPr>
      <t>Disrupting X.509: Building Legal Arguments for Cardano</t>
    </r>
  </si>
  <si>
    <r>
      <rPr>
        <rFont val="Calibri, sans-serif"/>
        <color rgb="FF1155CC"/>
        <sz val="11.0"/>
        <u/>
      </rPr>
      <t>Private Remittances with Midnight</t>
    </r>
  </si>
  <si>
    <r>
      <rPr>
        <rFont val="Calibri, sans-serif"/>
        <color rgb="FF1155CC"/>
        <sz val="11.0"/>
        <u/>
      </rPr>
      <t>CoVo: Land Rights with Veridian DIDs, VCs &amp; NFTs</t>
    </r>
  </si>
  <si>
    <r>
      <rPr>
        <rFont val="Calibri, sans-serif"/>
        <color rgb="FF1155CC"/>
        <sz val="11.0"/>
        <u/>
      </rPr>
      <t>OWN: Earn Passive Income from Tokenized Real Estate</t>
    </r>
  </si>
  <si>
    <r>
      <rPr>
        <rFont val="Calibri, sans-serif"/>
        <color rgb="FF1155CC"/>
        <sz val="11.0"/>
        <u/>
      </rPr>
      <t>MVP for privacy preserving CLOB DEX on Midnight</t>
    </r>
  </si>
  <si>
    <r>
      <rPr>
        <rFont val="Calibri, sans-serif"/>
        <color rgb="FF1155CC"/>
        <sz val="11.0"/>
        <u/>
      </rPr>
      <t>AI Agents to scale Companies, NGOs and DAOs on Cardano!</t>
    </r>
  </si>
  <si>
    <r>
      <rPr>
        <rFont val="Calibri, sans-serif"/>
        <color rgb="FF1155CC"/>
        <sz val="11.0"/>
        <u/>
      </rPr>
      <t>CardanoBeam - Rebooting DePIN Event Management</t>
    </r>
  </si>
  <si>
    <r>
      <rPr>
        <rFont val="Calibri, sans-serif"/>
        <color rgb="FF1155CC"/>
        <sz val="11.0"/>
        <u/>
      </rPr>
      <t>Empowering Citizens to Improve Cities – Powered by Hydra</t>
    </r>
  </si>
  <si>
    <r>
      <rPr>
        <rFont val="Calibri, sans-serif"/>
        <color rgb="FF1155CC"/>
        <sz val="11.0"/>
        <u/>
      </rPr>
      <t>Nkrypt : Cardano's "Proof-of-Engagement" Creator Social Hub</t>
    </r>
  </si>
  <si>
    <r>
      <rPr>
        <rFont val="Calibri, sans-serif"/>
        <color rgb="FF1155CC"/>
        <sz val="11.0"/>
        <u/>
      </rPr>
      <t>Exura: eUTxO Transaction &amp; Portfolio Intelligence</t>
    </r>
  </si>
  <si>
    <r>
      <rPr>
        <rFont val="Calibri, sans-serif"/>
        <color rgb="FF1155CC"/>
        <sz val="11.0"/>
        <u/>
      </rPr>
      <t>Cardano E-Commerce Connector: Shopify payments with ADA</t>
    </r>
  </si>
  <si>
    <r>
      <rPr>
        <rFont val="Calibri, sans-serif"/>
        <color rgb="FF1155CC"/>
        <sz val="11.0"/>
        <u/>
      </rPr>
      <t>Treasury Guardian</t>
    </r>
  </si>
  <si>
    <r>
      <rPr>
        <rFont val="Calibri, sans-serif"/>
        <color rgb="FF1155CC"/>
        <sz val="11.0"/>
        <u/>
      </rPr>
      <t>Cardano Portfolio Tracker: ADA Maximization Platform</t>
    </r>
  </si>
  <si>
    <r>
      <rPr>
        <rFont val="Calibri, sans-serif"/>
        <color rgb="FF1155CC"/>
        <sz val="11.0"/>
        <u/>
      </rPr>
      <t>AI-Powered Cardano DeFi Discovery, Analytics &amp; Trading Hub</t>
    </r>
  </si>
  <si>
    <r>
      <rPr>
        <rFont val="Calibri, sans-serif"/>
        <color rgb="FF1155CC"/>
        <sz val="11.0"/>
        <u/>
      </rPr>
      <t>Learning Midnight and Hydra through a game</t>
    </r>
  </si>
  <si>
    <r>
      <rPr>
        <rFont val="Calibri, sans-serif"/>
        <color rgb="FF1155CC"/>
        <sz val="11.0"/>
        <u/>
      </rPr>
      <t>Satellite Hardware R&amp;D for Cardano &amp; Decentralized Data Node</t>
    </r>
  </si>
  <si>
    <r>
      <rPr>
        <rFont val="Calibri, sans-serif"/>
        <color rgb="FF1155CC"/>
        <sz val="11.0"/>
        <u/>
      </rPr>
      <t>ROSCA: Decentralized Savings &amp; Fund Pool utilizes Cardano-SC</t>
    </r>
  </si>
  <si>
    <r>
      <rPr>
        <rFont val="Calibri, sans-serif"/>
        <color rgb="FF1155CC"/>
        <sz val="11.0"/>
        <u/>
      </rPr>
      <t>Paideia DAO Management: the path to MVP on mainnet</t>
    </r>
  </si>
  <si>
    <r>
      <rPr>
        <rFont val="Calibri, sans-serif"/>
        <color rgb="FF1155CC"/>
        <sz val="11.0"/>
        <u/>
      </rPr>
      <t>AI-Powered Cardano Ecosystem Dashboard</t>
    </r>
  </si>
  <si>
    <r>
      <rPr>
        <rFont val="Calibri, sans-serif"/>
        <color rgb="FF1155CC"/>
        <sz val="11.0"/>
        <u/>
      </rPr>
      <t>UTXO-based NFT Marketplace for Micro-Communities</t>
    </r>
  </si>
  <si>
    <r>
      <rPr>
        <rFont val="Calibri, sans-serif"/>
        <color rgb="FF1155CC"/>
        <sz val="11.0"/>
        <u/>
      </rPr>
      <t>HatchHub - The fundraising platform for Cardano Projects</t>
    </r>
  </si>
  <si>
    <r>
      <rPr>
        <rFont val="Calibri, sans-serif"/>
        <color rgb="FF1155CC"/>
        <sz val="11.0"/>
        <u/>
      </rPr>
      <t>Wolfram: EchoFeed Dashboard</t>
    </r>
  </si>
  <si>
    <r>
      <rPr>
        <rFont val="Calibri, sans-serif"/>
        <color rgb="FF1155CC"/>
        <sz val="11.0"/>
        <u/>
      </rPr>
      <t>AI-Powered Oracle for Cardano Smart Contracts</t>
    </r>
  </si>
  <si>
    <r>
      <rPr>
        <rFont val="Calibri, sans-serif"/>
        <color rgb="FF1155CC"/>
        <sz val="11.0"/>
        <u/>
      </rPr>
      <t>ADAverse : Global Digital Market place in the Cardano World</t>
    </r>
  </si>
  <si>
    <r>
      <rPr>
        <rFont val="Calibri, sans-serif"/>
        <color rgb="FF1155CC"/>
        <sz val="11.0"/>
        <u/>
      </rPr>
      <t>Common Ledger: A Cardano-Based Cooperative Finance Model.</t>
    </r>
  </si>
  <si>
    <r>
      <rPr>
        <rFont val="Calibri, sans-serif"/>
        <color rgb="FF1155CC"/>
        <sz val="11.0"/>
        <u/>
      </rPr>
      <t>MarginDEX - AMM for Interest Rate Derivatives</t>
    </r>
  </si>
  <si>
    <r>
      <rPr>
        <rFont val="Calibri, sans-serif"/>
        <color rgb="FF1155CC"/>
        <sz val="11.0"/>
        <u/>
      </rPr>
      <t>Cardano (ADA) Payments for African Businesses</t>
    </r>
  </si>
  <si>
    <r>
      <rPr>
        <rFont val="Calibri, sans-serif"/>
        <color rgb="FF1155CC"/>
        <sz val="11.0"/>
        <u/>
      </rPr>
      <t>Hydra Youth Hub – Digital Access &amp; Blockchain Learning</t>
    </r>
  </si>
  <si>
    <r>
      <rPr>
        <rFont val="Calibri, sans-serif"/>
        <color rgb="FF1155CC"/>
        <sz val="11.0"/>
        <u/>
      </rPr>
      <t>Retrai: AI Recruitment Platform with Cardano-Verified Trust</t>
    </r>
  </si>
  <si>
    <r>
      <rPr>
        <rFont val="Calibri, sans-serif"/>
        <color rgb="FF1155CC"/>
        <sz val="11.0"/>
        <u/>
      </rPr>
      <t>Eko-Chain: A Proof of Impact Protocol for Circular Economies</t>
    </r>
  </si>
  <si>
    <r>
      <rPr>
        <rFont val="Calibri, sans-serif"/>
        <color rgb="FF1155CC"/>
        <sz val="11.0"/>
        <u/>
      </rPr>
      <t>Smart interactive &amp; decentralize Edtech platform on Cardano</t>
    </r>
  </si>
  <si>
    <r>
      <rPr>
        <rFont val="Calibri, sans-serif"/>
        <color rgb="FF1155CC"/>
        <sz val="11.0"/>
        <u/>
      </rPr>
      <t>Cardano/Blockchain Literacy for CA Policymakers</t>
    </r>
  </si>
  <si>
    <r>
      <rPr>
        <rFont val="Calibri, sans-serif"/>
        <color rgb="FF1155CC"/>
        <sz val="11.0"/>
        <u/>
      </rPr>
      <t>UNIKRON – an intent-based meta-DEX aggregator</t>
    </r>
  </si>
  <si>
    <r>
      <rPr>
        <rFont val="Calibri, sans-serif"/>
        <color rgb="FF1155CC"/>
        <sz val="11.0"/>
        <u/>
      </rPr>
      <t>DRep Voting Management Platform—Your AI Congressional Staff</t>
    </r>
  </si>
  <si>
    <r>
      <rPr>
        <rFont val="Calibri, sans-serif"/>
        <color rgb="FF1155CC"/>
        <sz val="11.0"/>
        <u/>
      </rPr>
      <t>Digital Owner's Handbook - A digital passport for vehicles</t>
    </r>
  </si>
  <si>
    <r>
      <rPr>
        <rFont val="Calibri, sans-serif"/>
        <color rgb="FF1155CC"/>
        <sz val="11.0"/>
        <u/>
      </rPr>
      <t>[ADApter] MCP Server and AI Agent for Cardano</t>
    </r>
  </si>
  <si>
    <r>
      <rPr>
        <rFont val="Calibri, sans-serif"/>
        <color rgb="FF1155CC"/>
        <sz val="11.0"/>
        <u/>
      </rPr>
      <t>Vibe-coding Cardano Apps in No-code Environment</t>
    </r>
  </si>
  <si>
    <r>
      <rPr>
        <rFont val="Calibri, sans-serif"/>
        <color rgb="FF1155CC"/>
        <sz val="11.0"/>
        <u/>
      </rPr>
      <t>SmartScore: Discover, Compare &amp; Trust Cardano's Best</t>
    </r>
  </si>
  <si>
    <r>
      <rPr>
        <rFont val="Calibri, sans-serif"/>
        <color rgb="FF1155CC"/>
        <sz val="11.0"/>
        <u/>
      </rPr>
      <t>IdeaNFT: Human-Centric Protocol for Tokenization of Dreams</t>
    </r>
  </si>
  <si>
    <r>
      <rPr>
        <rFont val="Calibri, sans-serif"/>
        <color rgb="FF1155CC"/>
        <sz val="11.0"/>
        <u/>
      </rPr>
      <t>Minana Hub-Physical-Digital On-Ramp for Cardano Ecosystem</t>
    </r>
  </si>
  <si>
    <r>
      <rPr>
        <rFont val="Calibri, sans-serif"/>
        <color rgb="FF1155CC"/>
        <sz val="11.0"/>
        <u/>
      </rPr>
      <t>Dynamic Property Rights Management on Cardano</t>
    </r>
  </si>
  <si>
    <r>
      <rPr>
        <rFont val="Calibri, sans-serif"/>
        <color rgb="FF1155CC"/>
        <sz val="11.0"/>
        <u/>
      </rPr>
      <t>Cardano Glucose Tracker: Secure Health Records</t>
    </r>
  </si>
  <si>
    <r>
      <rPr>
        <rFont val="Calibri, sans-serif"/>
        <color rgb="FF1155CC"/>
        <sz val="11.0"/>
        <u/>
      </rPr>
      <t>LCX's AI-Powered Crypto Search Engine on Cardano</t>
    </r>
  </si>
  <si>
    <r>
      <rPr>
        <rFont val="Calibri, sans-serif"/>
        <color rgb="FF1155CC"/>
        <sz val="11.0"/>
        <u/>
      </rPr>
      <t>Midgard L2: Battleship Game on Cardano - via Commit‑Reveal</t>
    </r>
  </si>
  <si>
    <r>
      <rPr>
        <rFont val="Calibri, sans-serif"/>
        <color rgb="FF1155CC"/>
        <sz val="11.0"/>
        <u/>
      </rPr>
      <t>Kazakhstan Pilot for Health Services Procurement on Cardano</t>
    </r>
  </si>
  <si>
    <r>
      <rPr>
        <rFont val="Calibri, sans-serif"/>
        <color rgb="FF1155CC"/>
        <sz val="11.0"/>
        <u/>
      </rPr>
      <t>D4E - DAO for Enterprise, for Everyone</t>
    </r>
  </si>
  <si>
    <r>
      <rPr>
        <rFont val="Calibri, sans-serif"/>
        <color rgb="FF1155CC"/>
        <sz val="11.0"/>
        <u/>
      </rPr>
      <t>EcoChain: A Paperless Solutions on Cardano</t>
    </r>
  </si>
  <si>
    <r>
      <rPr>
        <rFont val="Calibri, sans-serif"/>
        <color rgb="FF1155CC"/>
        <sz val="11.0"/>
        <u/>
      </rPr>
      <t>Wolfram: AI Benchmarks for Cardano</t>
    </r>
  </si>
  <si>
    <r>
      <rPr>
        <rFont val="Calibri, sans-serif"/>
        <color rgb="FF1155CC"/>
        <sz val="11.0"/>
        <u/>
      </rPr>
      <t>Playing Chess on Hydra</t>
    </r>
  </si>
  <si>
    <r>
      <rPr>
        <rFont val="Calibri, sans-serif"/>
        <color rgb="FF1155CC"/>
        <sz val="11.0"/>
        <u/>
      </rPr>
      <t>ID7: Bot-Proof Identity Verification API</t>
    </r>
  </si>
  <si>
    <r>
      <rPr>
        <rFont val="Calibri, sans-serif"/>
        <color rgb="FF1155CC"/>
        <sz val="11.0"/>
        <u/>
      </rPr>
      <t>Organic Networks - Privacy-First Data Vault &amp; Dao Governance</t>
    </r>
  </si>
  <si>
    <r>
      <rPr>
        <rFont val="Calibri, sans-serif"/>
        <color rgb="FF1155CC"/>
        <sz val="11.0"/>
        <u/>
      </rPr>
      <t>Fida: Insurance Risk Transfer Contracts v-next</t>
    </r>
  </si>
  <si>
    <r>
      <rPr>
        <rFont val="Calibri, sans-serif"/>
        <color rgb="FF1155CC"/>
        <sz val="11.0"/>
        <u/>
      </rPr>
      <t>Raffleize: On-Chain Crowdfunding Raffles &amp; Pot Lotteries</t>
    </r>
  </si>
  <si>
    <r>
      <rPr>
        <rFont val="Calibri, sans-serif"/>
        <color rgb="FF1155CC"/>
        <sz val="11.0"/>
        <u/>
      </rPr>
      <t>M4W: Blockchain Traceability for Artisanal Luxury Products</t>
    </r>
  </si>
  <si>
    <r>
      <rPr>
        <rFont val="Calibri, sans-serif"/>
        <color rgb="FF1155CC"/>
        <sz val="11.0"/>
        <u/>
      </rPr>
      <t>[BLAB] Seamless PoK NFT Learning on Cardano Vietnam Phase 1</t>
    </r>
  </si>
  <si>
    <r>
      <rPr>
        <rFont val="Calibri, sans-serif"/>
        <color rgb="FF1155CC"/>
        <sz val="11.0"/>
        <u/>
      </rPr>
      <t>Village Connect: Africas First Wifi Sharing DEPIN</t>
    </r>
  </si>
  <si>
    <r>
      <rPr>
        <rFont val="Calibri, sans-serif"/>
        <color rgb="FF1155CC"/>
        <sz val="11.0"/>
        <u/>
      </rPr>
      <t>BullBookie: Zero-Risk Sports Prediction Platform on Cardano.</t>
    </r>
  </si>
  <si>
    <r>
      <rPr>
        <rFont val="Calibri, sans-serif"/>
        <color rgb="FF1155CC"/>
        <sz val="11.0"/>
        <u/>
      </rPr>
      <t>Governance Kit R&amp;D – Pro-Social Frameworks | CIP</t>
    </r>
  </si>
  <si>
    <r>
      <rPr>
        <rFont val="Calibri, sans-serif"/>
        <color rgb="FF1155CC"/>
        <sz val="11.0"/>
        <u/>
      </rPr>
      <t>Ecosystem Mapping for Community-Led Utility &amp; Layer-2</t>
    </r>
  </si>
  <si>
    <r>
      <rPr>
        <rFont val="Calibri, sans-serif"/>
        <color rgb="FF1155CC"/>
        <sz val="11.0"/>
        <u/>
      </rPr>
      <t>Proof of Reality: IoT Data Anchored on Cardano</t>
    </r>
  </si>
  <si>
    <r>
      <rPr>
        <rFont val="Calibri, sans-serif"/>
        <color rgb="FF1155CC"/>
        <sz val="11.0"/>
        <u/>
      </rPr>
      <t>NFT Membership Pass for Fine-Dining Perks</t>
    </r>
  </si>
  <si>
    <r>
      <rPr>
        <rFont val="Calibri, sans-serif"/>
        <color rgb="FF1155CC"/>
        <sz val="11.0"/>
        <u/>
      </rPr>
      <t>Decentralized Escrow Service on Cardano</t>
    </r>
  </si>
  <si>
    <r>
      <rPr>
        <rFont val="Calibri, sans-serif"/>
        <color rgb="FF1155CC"/>
        <sz val="11.0"/>
        <u/>
      </rPr>
      <t>Digital Loyalty Card for Free Funerals - Cardano NFTs, RWA</t>
    </r>
  </si>
  <si>
    <r>
      <rPr>
        <rFont val="Calibri, sans-serif"/>
        <color rgb="FF1155CC"/>
        <sz val="11.0"/>
        <u/>
      </rPr>
      <t>Building the Trust Layer for Open Source AI on Cardano</t>
    </r>
  </si>
  <si>
    <r>
      <rPr>
        <rFont val="Calibri, sans-serif"/>
        <color rgb="FF1155CC"/>
        <sz val="11.0"/>
        <u/>
      </rPr>
      <t>FairMint Tickets: Anti‑Scalping Ticketing on Cardano</t>
    </r>
  </si>
  <si>
    <r>
      <rPr>
        <rFont val="Calibri, sans-serif"/>
        <color rgb="FF1155CC"/>
        <sz val="11.0"/>
        <u/>
      </rPr>
      <t>Quality Assurance: On-Chain &amp; Off-Chain Audit</t>
    </r>
  </si>
  <si>
    <r>
      <rPr>
        <rFont val="Calibri, sans-serif"/>
        <color rgb="FF1155CC"/>
        <sz val="11.0"/>
        <u/>
      </rPr>
      <t>Compliant High-Yield RWA Tokenization</t>
    </r>
  </si>
  <si>
    <r>
      <rPr>
        <rFont val="Calibri, sans-serif"/>
        <color rgb="FF1155CC"/>
        <sz val="11.0"/>
        <u/>
      </rPr>
      <t>Blockchain-Verified Feed for Dairy Productivity in Ethiopia</t>
    </r>
  </si>
  <si>
    <r>
      <rPr>
        <rFont val="Calibri, sans-serif"/>
        <color rgb="FF1155CC"/>
        <sz val="11.0"/>
        <u/>
      </rPr>
      <t>Smart Agriculture &amp; Product Traceability with IoT on Cardano</t>
    </r>
  </si>
  <si>
    <r>
      <rPr>
        <rFont val="Calibri, sans-serif"/>
        <color rgb="FF1155CC"/>
        <sz val="11.0"/>
        <u/>
      </rPr>
      <t>InfoAction/GovAction as a Service</t>
    </r>
  </si>
  <si>
    <r>
      <rPr>
        <rFont val="Calibri, sans-serif"/>
        <color rgb="FF1155CC"/>
        <sz val="11.0"/>
        <u/>
      </rPr>
      <t>Sentiant-RO 🤖 - Romanian AI Agent on Masumi Network</t>
    </r>
  </si>
  <si>
    <r>
      <rPr>
        <rFont val="Calibri, sans-serif"/>
        <color rgb="FF1155CC"/>
        <sz val="11.0"/>
        <u/>
      </rPr>
      <t>EthioMarket DApp: Decentralized E-Commerce for Ethiopia</t>
    </r>
  </si>
  <si>
    <r>
      <rPr>
        <rFont val="Calibri, sans-serif"/>
        <color rgb="FF1155CC"/>
        <sz val="11.0"/>
        <u/>
      </rPr>
      <t>M9 privacy voting app - Privacy DAO for Cardano native asset</t>
    </r>
  </si>
  <si>
    <r>
      <rPr>
        <rFont val="Calibri, sans-serif"/>
        <color rgb="FF1155CC"/>
        <sz val="11.0"/>
        <u/>
      </rPr>
      <t>Cattle Lifecycle Tracking for Export Compliance</t>
    </r>
  </si>
  <si>
    <r>
      <rPr>
        <rFont val="Calibri, sans-serif"/>
        <color rgb="FF1155CC"/>
        <sz val="11.0"/>
        <u/>
      </rPr>
      <t>Vaulti: The multi auth Cardano Vault</t>
    </r>
  </si>
  <si>
    <r>
      <rPr>
        <rFont val="Calibri, sans-serif"/>
        <color rgb="FF1155CC"/>
        <sz val="11.0"/>
        <u/>
      </rPr>
      <t>K33P | Self-custodial digital Vault.</t>
    </r>
  </si>
  <si>
    <r>
      <rPr>
        <rFont val="Calibri, sans-serif"/>
        <color rgb="FF1155CC"/>
        <sz val="11.0"/>
        <u/>
      </rPr>
      <t>Markado: The Smart Bot for Centralized Shopping on Telegram.</t>
    </r>
  </si>
  <si>
    <r>
      <rPr>
        <rFont val="Calibri, sans-serif"/>
        <color rgb="FF1155CC"/>
        <sz val="11.0"/>
        <u/>
      </rPr>
      <t>Anonymous Transactions: Building Cardano’s Privacy Infra</t>
    </r>
  </si>
  <si>
    <r>
      <rPr>
        <rFont val="Calibri, sans-serif"/>
        <color rgb="FF1155CC"/>
        <sz val="11.0"/>
        <u/>
      </rPr>
      <t>[Br0x] Non-Custodial Bridgeless Swaps: Cardano ↔ EVM</t>
    </r>
  </si>
  <si>
    <r>
      <rPr>
        <rFont val="Calibri, sans-serif"/>
        <color rgb="FF1155CC"/>
        <sz val="11.0"/>
        <u/>
      </rPr>
      <t>Cardano’s AI Risk Engine/On-chain Analytics: Tokeo x ZarkLab</t>
    </r>
  </si>
  <si>
    <r>
      <rPr>
        <rFont val="Calibri, sans-serif"/>
        <color rgb="FF1155CC"/>
        <sz val="11.0"/>
        <u/>
      </rPr>
      <t>Plant Passport 3.0</t>
    </r>
  </si>
  <si>
    <r>
      <rPr>
        <rFont val="Calibri, sans-serif"/>
        <color rgb="FF1155CC"/>
        <sz val="11.0"/>
        <u/>
      </rPr>
      <t>CardanoSwipe(TikTok-Style Dapp): Swipe, Share, Earn, Vote</t>
    </r>
  </si>
  <si>
    <r>
      <rPr>
        <rFont val="Calibri, sans-serif"/>
        <color rgb="FF1155CC"/>
        <sz val="11.0"/>
        <u/>
      </rPr>
      <t>AegisGrid: Blockchain-Powered Energy Management</t>
    </r>
  </si>
  <si>
    <r>
      <rPr>
        <rFont val="Calibri, sans-serif"/>
        <color rgb="FF1155CC"/>
        <sz val="11.0"/>
        <u/>
      </rPr>
      <t>Agrilcture Marketplace with Bidding &amp; Verified ID</t>
    </r>
  </si>
  <si>
    <r>
      <rPr>
        <rFont val="Calibri, sans-serif"/>
        <color rgb="FF1155CC"/>
        <sz val="11.0"/>
        <u/>
      </rPr>
      <t>DCU : Decetralized Credit Unions Toolkit on Cardano</t>
    </r>
  </si>
  <si>
    <r>
      <rPr>
        <rFont val="Calibri, sans-serif"/>
        <color rgb="FF1155CC"/>
        <sz val="11.0"/>
        <u/>
      </rPr>
      <t>Bring ADA Payments to Millions of Odoo ERP based Businesses</t>
    </r>
  </si>
  <si>
    <r>
      <rPr>
        <rFont val="Calibri, sans-serif"/>
        <color rgb="FF1155CC"/>
        <sz val="11.0"/>
        <u/>
      </rPr>
      <t>Seamless FIAT to Cardano token on/off ramp</t>
    </r>
  </si>
  <si>
    <r>
      <rPr>
        <rFont val="Calibri, sans-serif"/>
        <color rgb="FF1155CC"/>
        <sz val="11.0"/>
        <u/>
      </rPr>
      <t>VeriScience: Decentralized Publishing &amp; Peer review on ADA</t>
    </r>
  </si>
  <si>
    <r>
      <rPr>
        <rFont val="Calibri, sans-serif"/>
        <color rgb="FF1155CC"/>
        <sz val="11.0"/>
        <u/>
      </rPr>
      <t>cPoker Development</t>
    </r>
  </si>
  <si>
    <r>
      <rPr>
        <rFont val="Calibri, sans-serif"/>
        <color rgb="FF1155CC"/>
        <sz val="11.0"/>
        <u/>
      </rPr>
      <t>PayShare: share links, receive payments</t>
    </r>
  </si>
  <si>
    <r>
      <rPr>
        <rFont val="Calibri, sans-serif"/>
        <color rgb="FF1155CC"/>
        <sz val="11.0"/>
        <u/>
      </rPr>
      <t>Distribution Transformer Monitoring using Cardano and IoT</t>
    </r>
  </si>
  <si>
    <r>
      <rPr>
        <rFont val="Calibri, sans-serif"/>
        <color rgb="FF1155CC"/>
        <sz val="11.0"/>
        <u/>
      </rPr>
      <t>Decentralized Identity for Health Record Management</t>
    </r>
  </si>
  <si>
    <r>
      <rPr>
        <rFont val="Calibri, sans-serif"/>
        <color rgb="FF1155CC"/>
        <sz val="11.0"/>
        <u/>
      </rPr>
      <t>GreenDAO: Carbon Credit Platform on Cardano</t>
    </r>
  </si>
  <si>
    <r>
      <rPr>
        <rFont val="Calibri, sans-serif"/>
        <color rgb="FF1155CC"/>
        <sz val="11.0"/>
        <u/>
      </rPr>
      <t>DigiFarm Credit &amp; Climate Passport</t>
    </r>
  </si>
  <si>
    <r>
      <rPr>
        <rFont val="Calibri, sans-serif"/>
        <color rgb="FF1155CC"/>
        <sz val="11.0"/>
        <u/>
      </rPr>
      <t>ProposalGPT: AI Co-Pilot with On-Chain Archiving for Cardano</t>
    </r>
  </si>
  <si>
    <r>
      <rPr>
        <rFont val="Calibri, sans-serif"/>
        <color rgb="FF1155CC"/>
        <sz val="11.0"/>
        <u/>
      </rPr>
      <t>OPUS: Trust-Based Hiring for the Future of Work</t>
    </r>
  </si>
  <si>
    <r>
      <rPr>
        <rFont val="Calibri, sans-serif"/>
        <color rgb="FF1155CC"/>
        <sz val="11.0"/>
        <u/>
      </rPr>
      <t>Land ID Gateway One Source of Truth for Property Ownership</t>
    </r>
  </si>
  <si>
    <r>
      <rPr>
        <rFont val="Calibri, sans-serif"/>
        <color rgb="FF1155CC"/>
        <sz val="11.0"/>
        <u/>
      </rPr>
      <t>ChainSente: A Cardano Wallet for DeFi and Mobile Money</t>
    </r>
  </si>
  <si>
    <r>
      <rPr>
        <rFont val="Calibri, sans-serif"/>
        <color rgb="FF1155CC"/>
        <sz val="11.0"/>
        <u/>
      </rPr>
      <t>Integrate ADA payment features into Tiki Wiki CMS Groupware</t>
    </r>
  </si>
  <si>
    <r>
      <rPr>
        <rFont val="Calibri, sans-serif"/>
        <color rgb="FF1155CC"/>
        <sz val="11.0"/>
        <u/>
      </rPr>
      <t>Cardano Open Peer Review: An On-Chain Publishing MVP</t>
    </r>
  </si>
  <si>
    <r>
      <rPr>
        <rFont val="Calibri, sans-serif"/>
        <color rgb="FF1155CC"/>
        <sz val="11.0"/>
        <u/>
      </rPr>
      <t>PharmaDNA: Drug traceability powered by Blockchain &amp; AIoT</t>
    </r>
  </si>
  <si>
    <r>
      <rPr>
        <rFont val="Calibri, sans-serif"/>
        <color rgb="FF1155CC"/>
        <sz val="11.0"/>
        <u/>
      </rPr>
      <t>Cardano Token Risk Analysis Bot via Telegram</t>
    </r>
  </si>
  <si>
    <r>
      <rPr>
        <rFont val="Calibri, sans-serif"/>
        <color rgb="FF1155CC"/>
        <sz val="11.0"/>
        <u/>
      </rPr>
      <t>Cardano AI Risk-Manager for treasury financial resilience</t>
    </r>
  </si>
  <si>
    <r>
      <rPr>
        <rFont val="Calibri, sans-serif"/>
        <color rgb="FF1155CC"/>
        <sz val="11.0"/>
        <u/>
      </rPr>
      <t>VoteScope AI: Voter Turnout Intelligence for SPOs &amp; DReps</t>
    </r>
  </si>
  <si>
    <r>
      <rPr>
        <rFont val="Calibri, sans-serif"/>
        <color rgb="FF1155CC"/>
        <sz val="11.0"/>
        <u/>
      </rPr>
      <t>KnightSafe: Trading Strategy Selector &amp; Asset Controls</t>
    </r>
  </si>
  <si>
    <r>
      <rPr>
        <rFont val="Calibri, sans-serif"/>
        <color rgb="FF1155CC"/>
        <sz val="11.0"/>
        <u/>
      </rPr>
      <t>The Cardano Home Portal</t>
    </r>
  </si>
  <si>
    <r>
      <rPr>
        <rFont val="Calibri, sans-serif"/>
        <color rgb="FF1155CC"/>
        <sz val="11.0"/>
        <u/>
      </rPr>
      <t>PROTOFIRE - Cardano Cross-Chain Interoperability Protocol</t>
    </r>
  </si>
  <si>
    <r>
      <rPr>
        <rFont val="Calibri, sans-serif"/>
        <color rgb="FF1155CC"/>
        <sz val="11.0"/>
        <u/>
      </rPr>
      <t>BlockMargin - Interest Rate Derivatives Settlement - Mainnet</t>
    </r>
  </si>
  <si>
    <r>
      <rPr>
        <rFont val="Calibri, sans-serif"/>
        <color rgb="FF1155CC"/>
        <sz val="11.0"/>
        <u/>
      </rPr>
      <t>Patilla Noir: Artistic and Digital Product Passports</t>
    </r>
  </si>
  <si>
    <r>
      <rPr>
        <rFont val="Calibri, sans-serif"/>
        <color rgb="FF1155CC"/>
        <sz val="11.0"/>
        <u/>
      </rPr>
      <t>ReLoop: Turning E-Waste into Wealth through Cardano</t>
    </r>
  </si>
  <si>
    <r>
      <rPr>
        <rFont val="Calibri, sans-serif"/>
        <color rgb="FF1155CC"/>
        <sz val="11.0"/>
        <u/>
      </rPr>
      <t>BookHub - Cardano Powered Book Sharing</t>
    </r>
  </si>
  <si>
    <r>
      <rPr>
        <rFont val="Calibri, sans-serif"/>
        <color rgb="FF1155CC"/>
        <sz val="11.0"/>
        <u/>
      </rPr>
      <t>Level-2 Identity Verification</t>
    </r>
  </si>
  <si>
    <r>
      <rPr>
        <rFont val="Calibri, sans-serif"/>
        <color rgb="FF1155CC"/>
        <sz val="11.0"/>
        <u/>
      </rPr>
      <t>[Lowfee] Reduce Transaction Fee by 80% without Layer-2</t>
    </r>
  </si>
  <si>
    <r>
      <rPr>
        <rFont val="Calibri, sans-serif"/>
        <color rgb="FF1155CC"/>
        <sz val="11.0"/>
        <u/>
      </rPr>
      <t>Hydra Texas Hold'em Poker Platform</t>
    </r>
  </si>
  <si>
    <r>
      <rPr>
        <rFont val="Calibri, sans-serif"/>
        <color rgb="FF1155CC"/>
        <sz val="11.0"/>
        <u/>
      </rPr>
      <t>Scalable Cooperative Microlending dApp</t>
    </r>
  </si>
  <si>
    <r>
      <rPr>
        <rFont val="Calibri, sans-serif"/>
        <color rgb="FF1155CC"/>
        <sz val="11.0"/>
        <u/>
      </rPr>
      <t>VNX - Licensed European non-usd stablecoins for Cardano</t>
    </r>
  </si>
  <si>
    <r>
      <rPr>
        <rFont val="Calibri, sans-serif"/>
        <color rgb="FF1155CC"/>
        <sz val="11.0"/>
        <u/>
      </rPr>
      <t>Cardano RWAs Hackathon - (8 - industries templates)</t>
    </r>
  </si>
  <si>
    <r>
      <rPr>
        <rFont val="Calibri, sans-serif"/>
        <color rgb="FF1155CC"/>
        <sz val="11.0"/>
        <u/>
      </rPr>
      <t>Real-Time Trading and Alerts for all token pairs on Cardano</t>
    </r>
  </si>
  <si>
    <r>
      <rPr>
        <rFont val="Calibri, sans-serif"/>
        <color rgb="FF1155CC"/>
        <sz val="11.0"/>
        <u/>
      </rPr>
      <t>Trustless Cross-Chain Atomic Swaps for Cardano</t>
    </r>
  </si>
  <si>
    <r>
      <rPr>
        <rFont val="Calibri, sans-serif"/>
        <color rgb="FF1155CC"/>
        <sz val="11.0"/>
        <u/>
      </rPr>
      <t>DeFi Buddy: Simplifying DeFi for Everyone</t>
    </r>
  </si>
  <si>
    <r>
      <rPr>
        <rFont val="Calibri, sans-serif"/>
        <color rgb="FF1155CC"/>
        <sz val="11.0"/>
        <u/>
      </rPr>
      <t>W3BFLIX</t>
    </r>
  </si>
  <si>
    <r>
      <rPr>
        <rFont val="Calibri, sans-serif"/>
        <color rgb="FF1155CC"/>
        <sz val="11.0"/>
        <u/>
      </rPr>
      <t>High Yield Tokenized Carbon Credits</t>
    </r>
  </si>
  <si>
    <r>
      <rPr>
        <rFont val="Calibri, sans-serif"/>
        <color rgb="FF1155CC"/>
        <sz val="11.0"/>
        <u/>
      </rPr>
      <t>Fractionalized Telocommunication Infrastructure On Cardano</t>
    </r>
  </si>
  <si>
    <r>
      <rPr>
        <rFont val="Calibri, sans-serif"/>
        <color rgb="FF1155CC"/>
        <sz val="11.0"/>
        <u/>
      </rPr>
      <t>sauce.cafe – Decentralised social intelligence platform</t>
    </r>
  </si>
  <si>
    <r>
      <rPr>
        <rFont val="Calibri, sans-serif"/>
        <color rgb="FF1155CC"/>
        <sz val="11.0"/>
        <u/>
      </rPr>
      <t>On‑Chain Task and Contributor Verification</t>
    </r>
  </si>
  <si>
    <r>
      <rPr>
        <rFont val="Calibri, sans-serif"/>
        <color rgb="FF1155CC"/>
        <sz val="11.0"/>
        <u/>
      </rPr>
      <t>Decentralized Presidential Voting System</t>
    </r>
  </si>
  <si>
    <r>
      <rPr>
        <rFont val="Calibri, sans-serif"/>
        <color rgb="FF1155CC"/>
        <sz val="11.0"/>
        <u/>
      </rPr>
      <t>AI-Assisted Smart Contract Generator Prototype</t>
    </r>
  </si>
  <si>
    <r>
      <rPr>
        <rFont val="Calibri, sans-serif"/>
        <color rgb="FF1155CC"/>
        <sz val="11.0"/>
        <u/>
      </rPr>
      <t>UltraDecentralised.money: Cardano Metrics Hub</t>
    </r>
  </si>
  <si>
    <r>
      <rPr>
        <rFont val="Calibri, sans-serif"/>
        <color rgb="FF1155CC"/>
        <sz val="11.0"/>
        <u/>
      </rPr>
      <t>BendingAI – Advanced Cardano DeFi &amp; Wallet Analytics</t>
    </r>
  </si>
  <si>
    <r>
      <rPr>
        <rFont val="Calibri, sans-serif"/>
        <color rgb="FF1155CC"/>
        <sz val="11.0"/>
        <u/>
      </rPr>
      <t>Vendano: Contact‑based Cardano wallet (iOS + Android)</t>
    </r>
  </si>
  <si>
    <r>
      <rPr>
        <rFont val="Calibri, sans-serif"/>
        <color rgb="FF1155CC"/>
        <sz val="11.0"/>
        <u/>
      </rPr>
      <t>Agentic AI for Disseminating Cardano Insights</t>
    </r>
  </si>
  <si>
    <r>
      <rPr>
        <rFont val="Calibri, sans-serif"/>
        <color rgb="FF1155CC"/>
        <sz val="11.0"/>
        <u/>
      </rPr>
      <t>[BLAB] Decentralized Talent, DAO, Escrow &amp; Reputation</t>
    </r>
  </si>
  <si>
    <r>
      <rPr>
        <rFont val="Calibri, sans-serif"/>
        <color rgb="FF1155CC"/>
        <sz val="11.0"/>
        <u/>
      </rPr>
      <t>Decentralised Voting and Authentication System</t>
    </r>
  </si>
  <si>
    <r>
      <rPr>
        <rFont val="Calibri, sans-serif"/>
        <color rgb="FF1155CC"/>
        <sz val="11.0"/>
        <u/>
      </rPr>
      <t>Blockchain Portal for Missing Persons in Brazil</t>
    </r>
  </si>
  <si>
    <r>
      <rPr>
        <rFont val="Calibri, sans-serif"/>
        <color rgb="FF1155CC"/>
        <sz val="11.0"/>
        <u/>
      </rPr>
      <t>HalalCert++</t>
    </r>
  </si>
  <si>
    <r>
      <rPr>
        <rFont val="Calibri, sans-serif"/>
        <color rgb="FF1155CC"/>
        <sz val="11.0"/>
        <u/>
      </rPr>
      <t>Cardano Flipping Real Estate</t>
    </r>
  </si>
  <si>
    <r>
      <rPr>
        <rFont val="Calibri, sans-serif"/>
        <color rgb="FF1155CC"/>
        <sz val="11.0"/>
        <u/>
      </rPr>
      <t>Merit Based Decentralized Repuation Engine</t>
    </r>
  </si>
  <si>
    <r>
      <rPr>
        <rFont val="Calibri, sans-serif"/>
        <color rgb="FF1155CC"/>
        <sz val="11.0"/>
        <u/>
      </rPr>
      <t>EduChain: A Decentralized Education Record System for School</t>
    </r>
  </si>
  <si>
    <r>
      <rPr>
        <rFont val="Calibri, sans-serif"/>
        <color rgb="FF1155CC"/>
        <sz val="11.0"/>
        <u/>
      </rPr>
      <t>Farm-to-Table Ingredient Traceability on Cardano</t>
    </r>
  </si>
  <si>
    <r>
      <rPr>
        <rFont val="Calibri, sans-serif"/>
        <color rgb="FF1155CC"/>
        <sz val="11.0"/>
        <u/>
      </rPr>
      <t>Increasing Token Utility with Cardano Community Connect</t>
    </r>
  </si>
  <si>
    <r>
      <rPr>
        <rFont val="Calibri, sans-serif"/>
        <color rgb="FF1155CC"/>
        <sz val="11.0"/>
        <u/>
      </rPr>
      <t>Car-dano Car wash (Car-pay)</t>
    </r>
  </si>
  <si>
    <r>
      <rPr>
        <rFont val="Calibri, sans-serif"/>
        <color rgb="FF1155CC"/>
        <sz val="11.0"/>
        <u/>
      </rPr>
      <t>$1.5T Impact Capital - How to Verify &amp; Attribute this Impact</t>
    </r>
  </si>
  <si>
    <r>
      <rPr>
        <rFont val="Calibri, sans-serif"/>
        <color rgb="FF1155CC"/>
        <sz val="11.0"/>
        <u/>
      </rPr>
      <t>TerekaID: Cardano powered Livestock ID and Meat Traceability</t>
    </r>
  </si>
  <si>
    <r>
      <rPr>
        <rFont val="Calibri, sans-serif"/>
        <color rgb="FF1155CC"/>
        <sz val="11.0"/>
        <u/>
      </rPr>
      <t>Simple Secure On-Chain Voting App for Everyone</t>
    </r>
  </si>
  <si>
    <r>
      <rPr>
        <rFont val="Calibri, sans-serif"/>
        <color rgb="FF1155CC"/>
        <sz val="11.0"/>
        <u/>
      </rPr>
      <t>ScanPro: Next-Gen Humanitarian Track &amp; Trace on Cardano</t>
    </r>
  </si>
  <si>
    <r>
      <rPr>
        <rFont val="Calibri, sans-serif"/>
        <color rgb="FF1155CC"/>
        <sz val="11.0"/>
        <u/>
      </rPr>
      <t>Entire Cocktail Bar Equity as Cardano RWAs - Sova Hanoi</t>
    </r>
  </si>
  <si>
    <r>
      <rPr>
        <rFont val="Calibri, sans-serif"/>
        <color rgb="FF1155CC"/>
        <sz val="11.0"/>
        <u/>
      </rPr>
      <t>GreenSnap: Rewarding Green Actions with Cardano Blockchain</t>
    </r>
  </si>
  <si>
    <r>
      <rPr>
        <rFont val="Calibri, sans-serif"/>
        <color rgb="FF1155CC"/>
        <sz val="11.0"/>
        <u/>
      </rPr>
      <t>Oracle for Interest Rate Derivatives</t>
    </r>
  </si>
  <si>
    <r>
      <rPr>
        <rFont val="Calibri, sans-serif"/>
        <color rgb="FF1155CC"/>
        <sz val="11.0"/>
        <u/>
      </rPr>
      <t>PrivateProof: Anonymous Attendance Verifier</t>
    </r>
  </si>
  <si>
    <r>
      <rPr>
        <rFont val="Calibri, sans-serif"/>
        <color rgb="FF1155CC"/>
        <sz val="11.0"/>
        <u/>
      </rPr>
      <t>Robo-trading Asset Vaults: Unlock Group Trading &amp; Investing</t>
    </r>
  </si>
  <si>
    <r>
      <rPr>
        <rFont val="Calibri, sans-serif"/>
        <color rgb="FF1155CC"/>
        <sz val="11.0"/>
        <u/>
      </rPr>
      <t>Compliance Layer to Onboard $100 trillion Securities Market</t>
    </r>
  </si>
  <si>
    <r>
      <rPr>
        <rFont val="Calibri, sans-serif"/>
        <color rgb="FF1155CC"/>
        <sz val="11.0"/>
        <u/>
      </rPr>
      <t>Pooling Platform for 100K ADA GA Deposit by Dquadrant</t>
    </r>
  </si>
  <si>
    <r>
      <rPr>
        <rFont val="Calibri, sans-serif"/>
        <color rgb="FF1155CC"/>
        <sz val="11.0"/>
        <u/>
      </rPr>
      <t>Cardano Research Hub: A Collaborative Platform on Cardano</t>
    </r>
  </si>
  <si>
    <r>
      <rPr>
        <rFont val="Calibri, sans-serif"/>
        <color rgb="FF1155CC"/>
        <sz val="11.0"/>
        <u/>
      </rPr>
      <t>EchoSafe: A Cardano dApp Securing Medical and Mental Health</t>
    </r>
  </si>
  <si>
    <r>
      <rPr>
        <rFont val="Calibri, sans-serif"/>
        <color rgb="FF1155CC"/>
        <sz val="11.0"/>
        <u/>
      </rPr>
      <t>Cardano Catalyst Projects - Metrics &amp; Insights</t>
    </r>
  </si>
  <si>
    <r>
      <rPr>
        <rFont val="Calibri, sans-serif"/>
        <color rgb="FF1155CC"/>
        <sz val="11.0"/>
        <u/>
      </rPr>
      <t>Build a Dex Aggregator on Cardano</t>
    </r>
  </si>
  <si>
    <r>
      <rPr>
        <rFont val="Calibri, sans-serif"/>
        <color rgb="FF1155CC"/>
        <sz val="11.0"/>
        <u/>
      </rPr>
      <t>Cardano-Based University Certificate Verification</t>
    </r>
  </si>
  <si>
    <r>
      <rPr>
        <rFont val="Calibri, sans-serif"/>
        <color rgb="FF1155CC"/>
        <sz val="11.0"/>
        <u/>
      </rPr>
      <t>AfriSports Chain - Enhancing professional sports &amp; athletes.</t>
    </r>
  </si>
  <si>
    <r>
      <rPr>
        <rFont val="Calibri, sans-serif"/>
        <color rgb="FF1155CC"/>
        <sz val="11.0"/>
        <u/>
      </rPr>
      <t>Customer Acquisition &amp; Ecosytem Marketing Funnel (by BETTER)</t>
    </r>
  </si>
  <si>
    <r>
      <rPr>
        <rFont val="Calibri, sans-serif"/>
        <color rgb="FF1155CC"/>
        <sz val="11.0"/>
        <u/>
      </rPr>
      <t>Justice Ledger: Blockchain Criminal Records Ethiopia</t>
    </r>
  </si>
  <si>
    <r>
      <rPr>
        <rFont val="Calibri, sans-serif"/>
        <color rgb="FF1155CC"/>
        <sz val="11.0"/>
        <u/>
      </rPr>
      <t>ZKPetition: Privacy-Powered Voices</t>
    </r>
  </si>
  <si>
    <r>
      <rPr>
        <rFont val="Calibri, sans-serif"/>
        <color rgb="FF1155CC"/>
        <sz val="11.0"/>
        <u/>
      </rPr>
      <t>Kiyo Finance - A Next-Gen Lending Protocol for Cardano</t>
    </r>
  </si>
  <si>
    <r>
      <rPr>
        <rFont val="Calibri, sans-serif"/>
        <color rgb="FF1155CC"/>
        <sz val="11.0"/>
        <u/>
      </rPr>
      <t>decentralized Learning Management System_Knowledge Ledger</t>
    </r>
  </si>
  <si>
    <r>
      <rPr>
        <rFont val="Calibri, sans-serif"/>
        <color rgb="FF1155CC"/>
        <sz val="11.0"/>
        <u/>
      </rPr>
      <t>UrbanLink</t>
    </r>
  </si>
  <si>
    <r>
      <rPr>
        <rFont val="Calibri, sans-serif"/>
        <color rgb="FF1155CC"/>
        <sz val="11.0"/>
        <u/>
      </rPr>
      <t>WorldAds: Cardano-Powered DePIN Ads On Vehicle Roofs</t>
    </r>
  </si>
  <si>
    <r>
      <rPr>
        <rFont val="Calibri, sans-serif"/>
        <color rgb="FF1155CC"/>
        <sz val="11.0"/>
        <u/>
      </rPr>
      <t>AxellaCoin: MVP for Decentralized Biotech Trial Funding</t>
    </r>
  </si>
  <si>
    <r>
      <rPr>
        <rFont val="Calibri, sans-serif"/>
        <color rgb="FF1155CC"/>
        <sz val="11.0"/>
        <u/>
      </rPr>
      <t>CryptoAid: Restoring Trust in Humanitarian Aid.</t>
    </r>
  </si>
  <si>
    <r>
      <rPr>
        <rFont val="Calibri, sans-serif"/>
        <color rgb="FF1155CC"/>
        <sz val="11.0"/>
        <u/>
      </rPr>
      <t>Smart Contracts + Knowledge Graph + LLMs</t>
    </r>
  </si>
  <si>
    <r>
      <rPr>
        <rFont val="Calibri, sans-serif"/>
        <color rgb="FF1155CC"/>
        <sz val="11.0"/>
        <u/>
      </rPr>
      <t>Cardano AlertBot – Real-Time Wallet &amp; Staking Notifications</t>
    </r>
  </si>
  <si>
    <r>
      <rPr>
        <rFont val="Calibri, sans-serif"/>
        <color rgb="FF1155CC"/>
        <sz val="11.0"/>
        <u/>
      </rPr>
      <t>On-Chain Certificates for Training and Education Programmes</t>
    </r>
  </si>
  <si>
    <r>
      <rPr>
        <rFont val="Calibri, sans-serif"/>
        <color rgb="FF1155CC"/>
        <sz val="11.0"/>
        <u/>
      </rPr>
      <t>Farmland Lease Tokenization</t>
    </r>
  </si>
  <si>
    <r>
      <rPr>
        <rFont val="Calibri, sans-serif"/>
        <color rgb="FF1155CC"/>
        <sz val="11.0"/>
        <u/>
      </rPr>
      <t>Microfinance Platform with Native Stablecoin Collateral</t>
    </r>
  </si>
  <si>
    <r>
      <rPr>
        <rFont val="Calibri, sans-serif"/>
        <color rgb="FF1155CC"/>
        <sz val="11.0"/>
        <u/>
      </rPr>
      <t>GigHub:Decentralized Freelance Marketplace with ADA Payments</t>
    </r>
  </si>
  <si>
    <r>
      <rPr>
        <rFont val="Calibri, sans-serif"/>
        <color rgb="FF1155CC"/>
        <sz val="11.0"/>
        <u/>
      </rPr>
      <t>X150-Valkyrie Wallet: One-Touch &amp; Offline Pay, Mnemonic Safe</t>
    </r>
  </si>
  <si>
    <r>
      <rPr>
        <rFont val="Calibri, sans-serif"/>
        <color rgb="FF1155CC"/>
        <sz val="11.0"/>
        <u/>
      </rPr>
      <t>Wordpress module for tokenization of real estate</t>
    </r>
  </si>
  <si>
    <r>
      <rPr>
        <rFont val="Calibri, sans-serif"/>
        <color rgb="FF1155CC"/>
        <sz val="11.0"/>
        <u/>
      </rPr>
      <t>Zero-Knowledge Tenant Credentials using Veridian DID/VC</t>
    </r>
  </si>
  <si>
    <r>
      <rPr>
        <rFont val="Calibri, sans-serif"/>
        <color rgb="FF1155CC"/>
        <sz val="11.0"/>
        <u/>
      </rPr>
      <t>[BLAB] AI-Powered Stake Pool Optimization Cardano Phase 1</t>
    </r>
  </si>
  <si>
    <r>
      <rPr>
        <rFont val="Calibri, sans-serif"/>
        <color rgb="FF1155CC"/>
        <sz val="11.0"/>
        <u/>
      </rPr>
      <t>Local Language DAO Governance Experiments</t>
    </r>
  </si>
  <si>
    <r>
      <rPr>
        <rFont val="Calibri, sans-serif"/>
        <color rgb="FF1155CC"/>
        <sz val="11.0"/>
        <u/>
      </rPr>
      <t>Cardano Agro-Token l Argentina’s Grain-to-Chain Solution</t>
    </r>
  </si>
  <si>
    <r>
      <rPr>
        <rFont val="Calibri, sans-serif"/>
        <color rgb="FF1155CC"/>
        <sz val="11.0"/>
        <u/>
      </rPr>
      <t>TALENDRO: Decentralized Freelance Marketplace with Staking</t>
    </r>
  </si>
  <si>
    <r>
      <rPr>
        <rFont val="Calibri, sans-serif"/>
        <color rgb="FF1155CC"/>
        <sz val="11.0"/>
        <u/>
      </rPr>
      <t>Decentralized Crowdfunding DApp for Transparent Funding</t>
    </r>
  </si>
  <si>
    <r>
      <rPr>
        <rFont val="Calibri, sans-serif"/>
        <color rgb="FF1155CC"/>
        <sz val="11.0"/>
        <u/>
      </rPr>
      <t>AI Swarm Consensus: Building Humanity's Memory Layer</t>
    </r>
  </si>
  <si>
    <r>
      <rPr>
        <rFont val="Calibri, sans-serif"/>
        <color rgb="FF1155CC"/>
        <sz val="11.0"/>
        <u/>
      </rPr>
      <t>WAirdrop: One platform, endless drops</t>
    </r>
  </si>
  <si>
    <r>
      <rPr>
        <rFont val="Calibri, sans-serif"/>
        <color rgb="FF1155CC"/>
        <sz val="11.0"/>
        <u/>
      </rPr>
      <t>AI Colleague Your Project’s Institutional Memory</t>
    </r>
  </si>
  <si>
    <r>
      <rPr>
        <rFont val="Calibri, sans-serif"/>
        <color rgb="FF1155CC"/>
        <sz val="11.0"/>
        <u/>
      </rPr>
      <t>Mapping Agency with Graph Analysis in Cardano</t>
    </r>
  </si>
  <si>
    <r>
      <rPr>
        <rFont val="Calibri, sans-serif"/>
        <color rgb="FF1155CC"/>
        <sz val="11.0"/>
        <u/>
      </rPr>
      <t>Tamper-Proof Insurance Policies via Blockchain &amp; DIDs</t>
    </r>
  </si>
  <si>
    <r>
      <rPr>
        <rFont val="Calibri, sans-serif"/>
        <color rgb="FF1155CC"/>
        <sz val="11.0"/>
        <u/>
      </rPr>
      <t>The First Cardano-Native CTI (Crypto Traded Index) Token</t>
    </r>
  </si>
  <si>
    <r>
      <rPr>
        <rFont val="Calibri, sans-serif"/>
        <color rgb="FF1155CC"/>
        <sz val="11.0"/>
        <u/>
      </rPr>
      <t>Neurotech Tokenomic Architecture</t>
    </r>
  </si>
  <si>
    <r>
      <rPr>
        <rFont val="Calibri, sans-serif"/>
        <color rgb="FF1155CC"/>
        <sz val="11.0"/>
        <u/>
      </rPr>
      <t>Tokenizing livestock movements and life events</t>
    </r>
  </si>
  <si>
    <r>
      <rPr>
        <rFont val="Calibri, sans-serif"/>
        <color rgb="FF1155CC"/>
        <sz val="11.0"/>
        <u/>
      </rPr>
      <t>TrialNet: Open Source Clinical Trials Powered by Aiken</t>
    </r>
  </si>
  <si>
    <r>
      <rPr>
        <rFont val="Calibri, sans-serif"/>
        <color rgb="FF1155CC"/>
        <sz val="11.0"/>
        <u/>
      </rPr>
      <t>DPOPA - Digital Proof of Ownership for Assets</t>
    </r>
  </si>
  <si>
    <r>
      <rPr>
        <rFont val="Calibri, sans-serif"/>
        <color rgb="FF1155CC"/>
        <sz val="11.0"/>
        <u/>
      </rPr>
      <t>lovechain proof of concept: private dating on Cardano</t>
    </r>
  </si>
  <si>
    <r>
      <rPr>
        <rFont val="Calibri, sans-serif"/>
        <color rgb="FF1155CC"/>
        <sz val="11.0"/>
        <u/>
      </rPr>
      <t>Empowering African Youth Football via Cardano Blockchain</t>
    </r>
  </si>
  <si>
    <r>
      <rPr>
        <rFont val="Calibri, sans-serif"/>
        <color rgb="FF1155CC"/>
        <sz val="11.0"/>
        <u/>
      </rPr>
      <t>TokenStay - Tokenized Real Estate on Cardano</t>
    </r>
  </si>
  <si>
    <r>
      <rPr>
        <rFont val="Calibri, sans-serif"/>
        <color rgb="FF1155CC"/>
        <sz val="11.0"/>
        <u/>
      </rPr>
      <t>Beehive Tokenization</t>
    </r>
  </si>
  <si>
    <r>
      <rPr>
        <rFont val="Calibri, sans-serif"/>
        <color rgb="FF1155CC"/>
        <sz val="11.0"/>
        <u/>
      </rPr>
      <t>ReasonChain — ZK-Attested AI Chain-of-Thought Oracle</t>
    </r>
  </si>
  <si>
    <r>
      <rPr>
        <rFont val="Calibri, sans-serif"/>
        <color rgb="FF1155CC"/>
        <sz val="11.0"/>
        <u/>
      </rPr>
      <t>Cardano Kit for Communities - Beyonders Collective BioHub</t>
    </r>
  </si>
  <si>
    <r>
      <rPr>
        <rFont val="Calibri, sans-serif"/>
        <color rgb="FF1155CC"/>
        <sz val="11.0"/>
        <u/>
      </rPr>
      <t>Blue Nile Pay–Empowering Tourism with Secure,Cardano Payment</t>
    </r>
  </si>
  <si>
    <r>
      <rPr>
        <rFont val="Calibri, sans-serif"/>
        <color rgb="FF1155CC"/>
        <sz val="11.0"/>
        <u/>
      </rPr>
      <t>UVerify Template Library for Cardano Certificates</t>
    </r>
  </si>
  <si>
    <r>
      <rPr>
        <rFont val="Calibri, sans-serif"/>
        <color rgb="FF1155CC"/>
        <sz val="11.0"/>
        <u/>
      </rPr>
      <t>Blockchain-Verified Carbon Sequestration &amp; Tokenization</t>
    </r>
  </si>
  <si>
    <r>
      <rPr>
        <rFont val="Calibri, sans-serif"/>
        <color rgb="FF1155CC"/>
        <sz val="11.0"/>
        <u/>
      </rPr>
      <t>Content Origin Attestation Proposal</t>
    </r>
  </si>
  <si>
    <r>
      <rPr>
        <rFont val="Calibri, sans-serif"/>
        <color rgb="FF1155CC"/>
        <sz val="11.0"/>
        <u/>
      </rPr>
      <t>Originate MedTrace</t>
    </r>
  </si>
  <si>
    <r>
      <rPr>
        <rFont val="Calibri, sans-serif"/>
        <color rgb="FF1155CC"/>
        <sz val="11.0"/>
        <u/>
      </rPr>
      <t>Decentralized Circular Economy Marketplace</t>
    </r>
  </si>
  <si>
    <r>
      <rPr>
        <rFont val="Calibri, sans-serif"/>
        <color rgb="FF1155CC"/>
        <sz val="11.0"/>
        <u/>
      </rPr>
      <t>Cardano Talent &amp; Gig Marketplace</t>
    </r>
  </si>
  <si>
    <r>
      <rPr>
        <rFont val="Calibri, sans-serif"/>
        <color rgb="FF1155CC"/>
        <sz val="11.0"/>
        <u/>
      </rPr>
      <t>AI learn-to-earn platform for Cardano onboarding</t>
    </r>
  </si>
  <si>
    <r>
      <rPr>
        <rFont val="Calibri, sans-serif"/>
        <color rgb="FF1155CC"/>
        <sz val="11.0"/>
        <u/>
      </rPr>
      <t>Hyper USD: A slippage resistant stablecoin hyperstructure</t>
    </r>
  </si>
  <si>
    <r>
      <rPr>
        <rFont val="Calibri, sans-serif"/>
        <color rgb="FF1155CC"/>
        <sz val="11.0"/>
        <u/>
      </rPr>
      <t>CardSynth</t>
    </r>
  </si>
  <si>
    <r>
      <rPr>
        <rFont val="Calibri, sans-serif"/>
        <color rgb="FF1155CC"/>
        <sz val="11.0"/>
        <u/>
      </rPr>
      <t>Eonpower: Cardano-Backed Solar Energy Solutions For Africa</t>
    </r>
  </si>
  <si>
    <r>
      <rPr>
        <rFont val="Calibri, sans-serif"/>
        <color rgb="FF1155CC"/>
        <sz val="11.0"/>
        <u/>
      </rPr>
      <t>ReWasteChain</t>
    </r>
  </si>
  <si>
    <r>
      <rPr>
        <rFont val="Calibri, sans-serif"/>
        <color rgb="FF1155CC"/>
        <sz val="11.0"/>
        <u/>
      </rPr>
      <t>GigsGig App: Building the Future of Campus Work with Cardano</t>
    </r>
  </si>
  <si>
    <r>
      <rPr>
        <rFont val="Calibri, sans-serif"/>
        <color rgb="FF1155CC"/>
        <sz val="11.0"/>
        <u/>
      </rPr>
      <t>SkyBrain: Neural Data Ownership on Cardano</t>
    </r>
  </si>
  <si>
    <r>
      <rPr>
        <rFont val="Calibri, sans-serif"/>
        <color rgb="FF1155CC"/>
        <sz val="11.0"/>
        <u/>
      </rPr>
      <t>Cardano KnowledgeHub – A RAG-Powered AI for Ecosystem Growth</t>
    </r>
  </si>
  <si>
    <r>
      <rPr>
        <rFont val="Calibri, sans-serif"/>
        <color rgb="FF1155CC"/>
        <sz val="11.0"/>
        <u/>
      </rPr>
      <t>Building the Future of SocialFi on Cardano</t>
    </r>
  </si>
  <si>
    <r>
      <rPr>
        <rFont val="Calibri, sans-serif"/>
        <color rgb="FF1155CC"/>
        <sz val="11.0"/>
        <u/>
      </rPr>
      <t>Reafino SmartStarter dApp: Audit &amp; Mainnet Launch</t>
    </r>
  </si>
  <si>
    <r>
      <rPr>
        <rFont val="Calibri, sans-serif"/>
        <color rgb="FF1155CC"/>
        <sz val="11.0"/>
        <u/>
      </rPr>
      <t>Crypto Payroll on Cardano</t>
    </r>
  </si>
  <si>
    <r>
      <rPr>
        <rFont val="Calibri, sans-serif"/>
        <color rgb="FF1155CC"/>
        <sz val="11.0"/>
        <u/>
      </rPr>
      <t>Tokenized Real Estate &amp; Housing Subdivisions</t>
    </r>
  </si>
  <si>
    <r>
      <rPr>
        <rFont val="Calibri, sans-serif"/>
        <color rgb="FF1155CC"/>
        <sz val="11.0"/>
        <u/>
      </rPr>
      <t>NextGen Developers 2.0: From Hackathon Success to Mainnet</t>
    </r>
  </si>
  <si>
    <r>
      <rPr>
        <rFont val="Calibri, sans-serif"/>
        <color rgb="FF1155CC"/>
        <sz val="11.0"/>
        <u/>
      </rPr>
      <t>Business Development Service: Blockchain Solutions</t>
    </r>
  </si>
  <si>
    <r>
      <rPr>
        <rFont val="Calibri, sans-serif"/>
        <color rgb="FF1155CC"/>
        <sz val="11.0"/>
        <u/>
      </rPr>
      <t>EcoMandala v.2 – On-chain Environmental Intelligence</t>
    </r>
  </si>
  <si>
    <r>
      <rPr>
        <rFont val="Calibri, sans-serif"/>
        <color rgb="FF1155CC"/>
        <sz val="11.0"/>
        <u/>
      </rPr>
      <t>Blockchain-Based Agri-Finance for Smallholder Farmers</t>
    </r>
  </si>
  <si>
    <r>
      <rPr>
        <rFont val="Calibri, sans-serif"/>
        <color rgb="FF1155CC"/>
        <sz val="11.0"/>
        <u/>
      </rPr>
      <t>Carbon Credit Portal for Clean Energy Producers</t>
    </r>
  </si>
  <si>
    <r>
      <rPr>
        <rFont val="Calibri, sans-serif"/>
        <color rgb="FF1155CC"/>
        <sz val="11.0"/>
        <u/>
      </rPr>
      <t>GovCircle: Strengthening Cardano’s Constitutional Framework</t>
    </r>
  </si>
  <si>
    <r>
      <rPr>
        <rFont val="Calibri, sans-serif"/>
        <color rgb="FF1155CC"/>
        <sz val="11.0"/>
        <u/>
      </rPr>
      <t>Pay &amp; Verify: Cardano for Legal Cannabis Payments!</t>
    </r>
  </si>
  <si>
    <r>
      <rPr>
        <rFont val="Calibri, sans-serif"/>
        <color rgb="FF1155CC"/>
        <sz val="11.0"/>
        <u/>
      </rPr>
      <t>Multi-Level Document Approval Using Smart Contracts</t>
    </r>
  </si>
  <si>
    <r>
      <rPr>
        <rFont val="Calibri, sans-serif"/>
        <color rgb="FF1155CC"/>
        <sz val="11.0"/>
        <u/>
      </rPr>
      <t>MedFiNet: Where Immunization Meets Rewards</t>
    </r>
  </si>
  <si>
    <r>
      <rPr>
        <rFont val="Calibri, sans-serif"/>
        <color rgb="FF1155CC"/>
        <sz val="11.0"/>
        <u/>
      </rPr>
      <t>Semoto RFP/RFQ Platform with Cardano Integration</t>
    </r>
  </si>
  <si>
    <r>
      <rPr>
        <rFont val="Calibri, sans-serif"/>
        <color rgb="FF1155CC"/>
        <sz val="11.0"/>
        <u/>
      </rPr>
      <t>Sonhatório &amp; Reeve: Transparency for Impact &amp; RWA Projects</t>
    </r>
  </si>
  <si>
    <r>
      <rPr>
        <rFont val="Calibri, sans-serif"/>
        <color rgb="FF1155CC"/>
        <sz val="11.0"/>
        <u/>
      </rPr>
      <t>AeroGrowth: Invest in Urban Farms, Earn Real Yield</t>
    </r>
  </si>
  <si>
    <r>
      <rPr>
        <rFont val="Calibri, sans-serif"/>
        <color rgb="FF1155CC"/>
        <sz val="11.0"/>
        <u/>
      </rPr>
      <t>MindHealer: Connecting Experts &amp; Clients on Cardano</t>
    </r>
  </si>
  <si>
    <r>
      <rPr>
        <rFont val="Calibri, sans-serif"/>
        <color rgb="FF1155CC"/>
        <sz val="11.0"/>
        <u/>
      </rPr>
      <t>Cardano MicroJobs</t>
    </r>
  </si>
  <si>
    <r>
      <rPr>
        <rFont val="Calibri, sans-serif"/>
        <color rgb="FF1155CC"/>
        <sz val="11.0"/>
        <u/>
      </rPr>
      <t>OpenVolts: Cardano-Anchored Energy Pods for Public Spaces</t>
    </r>
  </si>
  <si>
    <r>
      <rPr>
        <rFont val="Calibri, sans-serif"/>
        <color rgb="FF1155CC"/>
        <sz val="11.0"/>
        <u/>
      </rPr>
      <t>Web3 Platform for Gaming Tournaments</t>
    </r>
  </si>
  <si>
    <r>
      <rPr>
        <rFont val="Calibri, sans-serif"/>
        <color rgb="FF1155CC"/>
        <sz val="11.0"/>
        <u/>
      </rPr>
      <t>White-Label Decentralized Luxury Resale Marketplace</t>
    </r>
  </si>
  <si>
    <r>
      <rPr>
        <rFont val="Calibri, sans-serif"/>
        <color rgb="FF1155CC"/>
        <sz val="11.0"/>
        <u/>
      </rPr>
      <t>Givinn: Blockchain-Powered Charity Platform</t>
    </r>
  </si>
  <si>
    <r>
      <rPr>
        <rFont val="Calibri, sans-serif"/>
        <color rgb="FF1155CC"/>
        <sz val="11.0"/>
        <u/>
      </rPr>
      <t>DiamondHooves&lt;&gt;Adaxon: Elevating NFTs with Private Chatbots</t>
    </r>
  </si>
  <si>
    <r>
      <rPr>
        <rFont val="Calibri, sans-serif"/>
        <color rgb="FF1155CC"/>
        <sz val="11.0"/>
        <u/>
      </rPr>
      <t>Addonx - P2P Digital Barter</t>
    </r>
  </si>
  <si>
    <r>
      <rPr>
        <rFont val="Calibri, sans-serif"/>
        <color rgb="FF1155CC"/>
        <sz val="11.0"/>
        <u/>
      </rPr>
      <t>TEX LedgerMeet – AI Meeting Summary Sealed on Cardano</t>
    </r>
  </si>
  <si>
    <r>
      <rPr>
        <rFont val="Calibri, sans-serif"/>
        <color rgb="FF1155CC"/>
        <sz val="11.0"/>
        <u/>
      </rPr>
      <t>Unreal Engine Plugin with Multi-providers (GameFi Dev Tool)</t>
    </r>
  </si>
  <si>
    <r>
      <rPr>
        <rFont val="Calibri, sans-serif"/>
        <color rgb="FF1155CC"/>
        <sz val="11.0"/>
        <u/>
      </rPr>
      <t>Semoto Cardano Professional Services Hub</t>
    </r>
  </si>
  <si>
    <r>
      <rPr>
        <rFont val="Calibri, sans-serif"/>
        <color rgb="FF1155CC"/>
        <sz val="11.0"/>
        <u/>
      </rPr>
      <t>Universal Skill Certification Platform (Cardano-Powered)</t>
    </r>
  </si>
  <si>
    <r>
      <rPr>
        <rFont val="Calibri, sans-serif"/>
        <color rgb="FF1155CC"/>
        <sz val="11.0"/>
        <u/>
      </rPr>
      <t>AdaBites: Explore &amp; Rate Restaurants with Blockchain Trust</t>
    </r>
  </si>
  <si>
    <r>
      <rPr>
        <rFont val="Calibri, sans-serif"/>
        <color rgb="FF1155CC"/>
        <sz val="11.0"/>
        <u/>
      </rPr>
      <t>DIG Governance App: Blockchain Voting for Business Chambers</t>
    </r>
  </si>
  <si>
    <r>
      <rPr>
        <rFont val="Calibri, sans-serif"/>
        <color rgb="FF1155CC"/>
        <sz val="11.0"/>
        <u/>
      </rPr>
      <t>Reafino SmartPlay: Fully on-chain games with a RealFi angle</t>
    </r>
  </si>
  <si>
    <r>
      <rPr>
        <rFont val="Calibri, sans-serif"/>
        <color rgb="FF1155CC"/>
        <sz val="11.0"/>
        <u/>
      </rPr>
      <t>Cardano Powered Digital Identity for Refugees &amp; Unbanked</t>
    </r>
  </si>
  <si>
    <r>
      <rPr>
        <rFont val="Calibri, sans-serif"/>
        <color rgb="FF1155CC"/>
        <sz val="11.0"/>
        <u/>
      </rPr>
      <t>AdaRide - pay and earn through taxi rides</t>
    </r>
  </si>
  <si>
    <r>
      <rPr>
        <rFont val="Calibri, sans-serif"/>
        <color rgb="FF1155CC"/>
        <sz val="11.0"/>
        <u/>
      </rPr>
      <t>2Fund - A Trust-Based Flash Funding Platform</t>
    </r>
  </si>
  <si>
    <r>
      <rPr>
        <rFont val="Calibri, sans-serif"/>
        <color rgb="FF1155CC"/>
        <sz val="11.0"/>
        <u/>
      </rPr>
      <t>[BLAB] Decentralized AI Platform for MemeCoin Analytics</t>
    </r>
  </si>
  <si>
    <r>
      <rPr>
        <rFont val="Calibri, sans-serif"/>
        <color rgb="FF1155CC"/>
        <sz val="11.0"/>
        <u/>
      </rPr>
      <t>FictionForge: On-Chain Collaborative Writing Platform</t>
    </r>
  </si>
  <si>
    <r>
      <rPr>
        <rFont val="Calibri, sans-serif"/>
        <color rgb="FF1155CC"/>
        <sz val="11.0"/>
        <u/>
      </rPr>
      <t>Democratizing Collecting: Association-Based Access Model</t>
    </r>
  </si>
  <si>
    <r>
      <rPr>
        <rFont val="Calibri, sans-serif"/>
        <color rgb="FF1155CC"/>
        <sz val="11.0"/>
        <u/>
      </rPr>
      <t>Pollify.net - Decentralized Governance &amp; Truth Certification</t>
    </r>
  </si>
  <si>
    <r>
      <rPr>
        <rFont val="Calibri, sans-serif"/>
        <color rgb="FF1155CC"/>
        <sz val="11.0"/>
        <u/>
      </rPr>
      <t>Chat-Ching: Pay and earn yields through your messaging app</t>
    </r>
  </si>
  <si>
    <r>
      <rPr>
        <rFont val="Calibri, sans-serif"/>
        <color rgb="FF1155CC"/>
        <sz val="11.0"/>
        <u/>
      </rPr>
      <t>Quattro - Work for 4 Companies At Once, Use 1 Cardano NFT</t>
    </r>
  </si>
  <si>
    <r>
      <rPr>
        <rFont val="Calibri, sans-serif"/>
        <color rgb="FF1155CC"/>
        <sz val="11.0"/>
        <u/>
      </rPr>
      <t>Blockchain-Certified NDVI/EVI Monitoring Forest Restoration</t>
    </r>
  </si>
  <si>
    <r>
      <rPr>
        <rFont val="Calibri, sans-serif"/>
        <color rgb="FF1155CC"/>
        <sz val="11.0"/>
        <u/>
      </rPr>
      <t>ShegerGoals: Fan Tokens Reviving Ethiopian FC with Cardano</t>
    </r>
  </si>
  <si>
    <r>
      <rPr>
        <rFont val="Calibri, sans-serif"/>
        <color rgb="FF1155CC"/>
        <sz val="11.0"/>
        <u/>
      </rPr>
      <t>AdaPulse</t>
    </r>
  </si>
  <si>
    <r>
      <rPr>
        <rFont val="Calibri, sans-serif"/>
        <color rgb="FF1155CC"/>
        <sz val="11.0"/>
        <u/>
      </rPr>
      <t>SupplyChainX Revolutionizing SupplyChain with OPEN SOURCE SC</t>
    </r>
  </si>
  <si>
    <r>
      <rPr>
        <rFont val="Calibri, sans-serif"/>
        <color rgb="FF1155CC"/>
        <sz val="11.0"/>
        <u/>
      </rPr>
      <t>SkillChain – Learn &amp; Teach with Cardano</t>
    </r>
  </si>
  <si>
    <r>
      <rPr>
        <rFont val="Calibri, sans-serif"/>
        <color rgb="FF1155CC"/>
        <sz val="11.0"/>
        <u/>
      </rPr>
      <t>Earning through Microtasks: A Cardano Based Earning Platform</t>
    </r>
  </si>
  <si>
    <r>
      <rPr>
        <rFont val="Calibri, sans-serif"/>
        <color rgb="FF1155CC"/>
        <sz val="11.0"/>
        <u/>
      </rPr>
      <t>Gengree: Blockchain Green Energy Tracker</t>
    </r>
  </si>
  <si>
    <r>
      <rPr>
        <rFont val="Calibri, sans-serif"/>
        <color rgb="FF1155CC"/>
        <sz val="11.0"/>
        <u/>
      </rPr>
      <t>Cardano Native Term Life Savings Protocol</t>
    </r>
  </si>
  <si>
    <r>
      <rPr>
        <rFont val="Calibri, sans-serif"/>
        <color rgb="FF1155CC"/>
        <sz val="11.0"/>
        <u/>
      </rPr>
      <t>rapid Plutus Application Development (rPAD)- Pheidippides</t>
    </r>
  </si>
  <si>
    <r>
      <rPr>
        <rFont val="Calibri, sans-serif"/>
        <color rgb="FF1155CC"/>
        <sz val="11.0"/>
        <u/>
      </rPr>
      <t>SUBADA</t>
    </r>
  </si>
  <si>
    <r>
      <rPr>
        <rFont val="Calibri, sans-serif"/>
        <color rgb="FF1155CC"/>
        <sz val="11.0"/>
        <u/>
      </rPr>
      <t>Real estate cross border fund management platform</t>
    </r>
  </si>
  <si>
    <r>
      <rPr>
        <rFont val="Calibri, sans-serif"/>
        <color rgb="FF1155CC"/>
        <sz val="11.0"/>
        <u/>
      </rPr>
      <t>One Shot Cross-Chain DeFi Research: Testnet MVP</t>
    </r>
  </si>
  <si>
    <r>
      <rPr>
        <rFont val="Calibri, sans-serif"/>
        <color rgb="FF1155CC"/>
        <sz val="11.0"/>
        <u/>
      </rPr>
      <t>BinToCash: Turning Waste into Value on Cardano</t>
    </r>
  </si>
  <si>
    <r>
      <rPr>
        <rFont val="Calibri, sans-serif"/>
        <color rgb="FF1155CC"/>
        <sz val="11.0"/>
        <u/>
      </rPr>
      <t>HealthPilot: Navigat a New Era in Healthcare with AI &amp; B.C</t>
    </r>
  </si>
  <si>
    <r>
      <rPr>
        <rFont val="Calibri, sans-serif"/>
        <color rgb="FF1155CC"/>
        <sz val="11.0"/>
        <u/>
      </rPr>
      <t>ExpertsWay: Cardano Credentials for Ethiopian Devs</t>
    </r>
  </si>
  <si>
    <r>
      <rPr>
        <rFont val="Calibri, sans-serif"/>
        <color rgb="FF1155CC"/>
        <sz val="11.0"/>
        <u/>
      </rPr>
      <t>improve DAO decision making processes and decision quality</t>
    </r>
  </si>
  <si>
    <r>
      <rPr>
        <rFont val="Calibri, sans-serif"/>
        <color rgb="FF1155CC"/>
        <sz val="11.0"/>
        <u/>
      </rPr>
      <t>Credence</t>
    </r>
  </si>
  <si>
    <r>
      <rPr>
        <rFont val="Calibri, sans-serif"/>
        <color rgb="FF1155CC"/>
        <sz val="11.0"/>
        <u/>
      </rPr>
      <t>Cardano LearnFi - A Circular Economy for Education Thrive</t>
    </r>
  </si>
  <si>
    <r>
      <rPr>
        <rFont val="Calibri, sans-serif"/>
        <color rgb="FF1155CC"/>
        <sz val="11.0"/>
        <u/>
      </rPr>
      <t>[MCP Server] Open EU Regulations for Cardano</t>
    </r>
  </si>
  <si>
    <r>
      <rPr>
        <rFont val="Calibri, sans-serif"/>
        <color rgb="FF1155CC"/>
        <sz val="11.0"/>
        <u/>
      </rPr>
      <t>ZapCoin x CalOne — Cardano-Powered Student Engagement Token</t>
    </r>
  </si>
  <si>
    <r>
      <rPr>
        <rFont val="Calibri, sans-serif"/>
        <color rgb="FF1155CC"/>
        <sz val="11.0"/>
        <u/>
      </rPr>
      <t>Viridian Mosaic: Reward Environmental Impact</t>
    </r>
  </si>
  <si>
    <r>
      <rPr>
        <rFont val="Calibri, sans-serif"/>
        <color rgb="FF1155CC"/>
        <sz val="11.0"/>
        <u/>
      </rPr>
      <t>Mulucard Pro: NFC Business &amp; ID Cards on Cardano</t>
    </r>
  </si>
  <si>
    <r>
      <rPr>
        <rFont val="Calibri, sans-serif"/>
        <color rgb="FF1155CC"/>
        <sz val="11.0"/>
        <u/>
      </rPr>
      <t>Cardano Woman Onchain Job Marketplace Indonesia</t>
    </r>
  </si>
  <si>
    <r>
      <rPr>
        <rFont val="Calibri, sans-serif"/>
        <color rgb="FF1155CC"/>
        <sz val="11.0"/>
        <u/>
      </rPr>
      <t>BirthBond: USSD + AI Voice Birth Registration on Cardano</t>
    </r>
  </si>
  <si>
    <r>
      <rPr>
        <rFont val="Calibri, sans-serif"/>
        <color rgb="FF1155CC"/>
        <sz val="11.0"/>
        <u/>
      </rPr>
      <t>Tribes - the new social network for Africa</t>
    </r>
  </si>
  <si>
    <r>
      <rPr>
        <rFont val="Calibri, sans-serif"/>
        <color rgb="FF1155CC"/>
        <sz val="11.0"/>
        <u/>
      </rPr>
      <t>Ubuntu dApp: Cardano Decentralized Business Empowerment</t>
    </r>
  </si>
  <si>
    <r>
      <rPr>
        <rFont val="Calibri, sans-serif"/>
        <color rgb="FF1155CC"/>
        <sz val="11.0"/>
        <u/>
      </rPr>
      <t>OctoWars - a TCG game</t>
    </r>
  </si>
  <si>
    <r>
      <rPr>
        <rFont val="Calibri, sans-serif"/>
        <color rgb="FF1155CC"/>
        <sz val="11.0"/>
        <u/>
      </rPr>
      <t>Cardano Global Academic &amp; Innovation Hub Network</t>
    </r>
  </si>
  <si>
    <r>
      <rPr>
        <rFont val="Calibri, sans-serif"/>
        <color rgb="FF1155CC"/>
        <sz val="11.0"/>
        <u/>
      </rPr>
      <t>drep.space – MVP Validation of Governance Matching Tool</t>
    </r>
  </si>
  <si>
    <r>
      <rPr>
        <rFont val="Calibri, sans-serif"/>
        <color rgb="FF1155CC"/>
        <sz val="11.0"/>
        <u/>
      </rPr>
      <t>NEXFUND: Decentralized Fund Management Platform</t>
    </r>
  </si>
  <si>
    <r>
      <rPr>
        <rFont val="Calibri, sans-serif"/>
        <color rgb="FF1155CC"/>
        <sz val="11.0"/>
        <u/>
      </rPr>
      <t>PEACEGUARD AI - A MULTILINGUAL MISINFORMATION DETECTION &amp; VE</t>
    </r>
  </si>
  <si>
    <r>
      <rPr>
        <rFont val="Calibri, sans-serif"/>
        <color rgb="FF1155CC"/>
        <sz val="11.0"/>
        <u/>
      </rPr>
      <t>Africast</t>
    </r>
  </si>
  <si>
    <r>
      <rPr>
        <rFont val="Calibri, sans-serif"/>
        <color rgb="FF1155CC"/>
        <sz val="11.0"/>
        <u/>
      </rPr>
      <t>Cardano On-Chain Quiz &amp; Trivia DApp: Learning with Rewards</t>
    </r>
  </si>
  <si>
    <r>
      <rPr>
        <rFont val="Calibri, sans-serif"/>
        <color rgb="FF1155CC"/>
        <sz val="11.0"/>
        <u/>
      </rPr>
      <t>Dairy Supply Chain Transparency Platform</t>
    </r>
  </si>
  <si>
    <r>
      <rPr>
        <rFont val="Calibri, sans-serif"/>
        <color rgb="FF1155CC"/>
        <sz val="11.0"/>
        <u/>
      </rPr>
      <t>Educational Revolution: DApp Integration for Boarding School</t>
    </r>
  </si>
  <si>
    <r>
      <rPr>
        <rFont val="Calibri, sans-serif"/>
        <color rgb="FF1155CC"/>
        <sz val="11.0"/>
        <u/>
      </rPr>
      <t>TribalDAOs Technical Blueprint</t>
    </r>
  </si>
  <si>
    <r>
      <rPr>
        <rFont val="Calibri, sans-serif"/>
        <color rgb="FF1155CC"/>
        <sz val="11.0"/>
        <u/>
      </rPr>
      <t>Egg Wars – A Worms-Style Web3 Game</t>
    </r>
  </si>
  <si>
    <r>
      <rPr>
        <rFont val="Calibri, sans-serif"/>
        <color rgb="FF1155CC"/>
        <sz val="11.0"/>
        <u/>
      </rPr>
      <t>Tokenizing an Entire Lounge Bar - Sova DaNang on Cardano</t>
    </r>
  </si>
  <si>
    <r>
      <rPr>
        <rFont val="Calibri, sans-serif"/>
        <color rgb="FF1155CC"/>
        <sz val="11.0"/>
        <u/>
      </rPr>
      <t>Enabling current accounts in urble</t>
    </r>
  </si>
  <si>
    <r>
      <rPr>
        <rFont val="Calibri, sans-serif"/>
        <color rgb="FF1155CC"/>
        <sz val="11.0"/>
        <u/>
      </rPr>
      <t>Feed reader community platform</t>
    </r>
  </si>
  <si>
    <r>
      <rPr>
        <rFont val="Calibri, sans-serif"/>
        <color rgb="FF1155CC"/>
        <sz val="11.0"/>
        <u/>
      </rPr>
      <t>BlogPay 2.0 – Converting Adsense Revenue into ADA</t>
    </r>
  </si>
  <si>
    <r>
      <rPr>
        <rFont val="Calibri, sans-serif"/>
        <color rgb="FF1155CC"/>
        <sz val="11.0"/>
        <u/>
      </rPr>
      <t>Creative Atlas: Identity Solution For Onboarding Creatives</t>
    </r>
  </si>
  <si>
    <r>
      <rPr>
        <rFont val="Calibri, sans-serif"/>
        <color rgb="FF1155CC"/>
        <sz val="11.0"/>
        <u/>
      </rPr>
      <t>Catalyst Real Reuse</t>
    </r>
  </si>
  <si>
    <r>
      <rPr>
        <rFont val="Calibri, sans-serif"/>
        <color rgb="FF1155CC"/>
        <sz val="11.0"/>
        <u/>
      </rPr>
      <t>Sheba Create: Empowering Ethiopian Artisans on Cardano</t>
    </r>
  </si>
  <si>
    <r>
      <rPr>
        <rFont val="Calibri, sans-serif"/>
        <color rgb="FF1155CC"/>
        <sz val="11.0"/>
        <u/>
      </rPr>
      <t>Cardano Blockchain Game Leaderboard</t>
    </r>
  </si>
  <si>
    <r>
      <rPr>
        <rFont val="Calibri, sans-serif"/>
        <color rgb="FF1155CC"/>
        <sz val="11.0"/>
        <u/>
      </rPr>
      <t>Hetzerk: Framework‑Free, Precompiled Training &amp; Simulation</t>
    </r>
  </si>
  <si>
    <r>
      <rPr>
        <rFont val="Calibri, sans-serif"/>
        <color rgb="FF1155CC"/>
        <sz val="11.0"/>
        <u/>
      </rPr>
      <t>Keysphere: Reinventing Self-Custody</t>
    </r>
  </si>
  <si>
    <r>
      <rPr>
        <rFont val="Calibri, sans-serif"/>
        <color rgb="FF1155CC"/>
        <sz val="11.0"/>
        <u/>
      </rPr>
      <t>Cardano-Based E-Ticketing MVP for Accra Events</t>
    </r>
  </si>
  <si>
    <r>
      <rPr>
        <rFont val="Calibri, sans-serif"/>
        <color rgb="FF1155CC"/>
        <sz val="11.0"/>
        <u/>
      </rPr>
      <t>BlockChat - Intelligent AI for Seamless Cardano Support</t>
    </r>
  </si>
  <si>
    <r>
      <rPr>
        <rFont val="Calibri, sans-serif"/>
        <color rgb="FF1155CC"/>
        <sz val="11.0"/>
        <u/>
      </rPr>
      <t>MotoCore Biker APP: NFT Routes &amp; Safe Rides Using Nodes</t>
    </r>
  </si>
  <si>
    <r>
      <rPr>
        <rFont val="Calibri, sans-serif"/>
        <color rgb="FF1155CC"/>
        <sz val="11.0"/>
        <u/>
      </rPr>
      <t>Semoto Verifiable Professional Credentials</t>
    </r>
  </si>
  <si>
    <r>
      <rPr>
        <rFont val="Calibri, sans-serif"/>
        <color rgb="FF1155CC"/>
        <sz val="11.0"/>
        <u/>
      </rPr>
      <t>Plot-Based Tokenization for Verified Mangrove Restoration</t>
    </r>
  </si>
  <si>
    <r>
      <rPr>
        <rFont val="Calibri, sans-serif"/>
        <color rgb="FF1155CC"/>
        <sz val="11.0"/>
        <u/>
      </rPr>
      <t>TrImEx: Transparent Import/Export Platform</t>
    </r>
  </si>
  <si>
    <r>
      <rPr>
        <rFont val="Calibri, sans-serif"/>
        <color rgb="FF1155CC"/>
        <sz val="11.0"/>
        <u/>
      </rPr>
      <t>Open Source Educational Reforestation Game</t>
    </r>
  </si>
  <si>
    <r>
      <rPr>
        <rFont val="Calibri, sans-serif"/>
        <color rgb="FF1155CC"/>
        <sz val="11.0"/>
        <u/>
      </rPr>
      <t>COINMRI</t>
    </r>
  </si>
  <si>
    <r>
      <rPr>
        <rFont val="Calibri, sans-serif"/>
        <color rgb="FF1155CC"/>
        <sz val="11.0"/>
        <u/>
      </rPr>
      <t>EyeOT: The IoT Supernetwork No One Can Shut Down</t>
    </r>
  </si>
  <si>
    <r>
      <rPr>
        <rFont val="Calibri, sans-serif"/>
        <color rgb="FF1155CC"/>
        <sz val="11.0"/>
        <u/>
      </rPr>
      <t>CarbonTrace-Making your carbon footprint part of the choice</t>
    </r>
  </si>
  <si>
    <r>
      <rPr>
        <rFont val="Calibri, sans-serif"/>
        <color rgb="FF1155CC"/>
        <sz val="11.0"/>
        <u/>
      </rPr>
      <t>Managewise: Blockchain-Ready Workforce Management</t>
    </r>
  </si>
  <si>
    <r>
      <rPr>
        <rFont val="Calibri, sans-serif"/>
        <color rgb="FF1155CC"/>
        <sz val="11.0"/>
        <u/>
      </rPr>
      <t>eUTXO Quest</t>
    </r>
  </si>
  <si>
    <r>
      <rPr>
        <rFont val="Calibri, sans-serif"/>
        <color rgb="FF1155CC"/>
        <sz val="11.0"/>
        <u/>
      </rPr>
      <t>Emaji: Trusted Wallet for Healthcare Workforce Innovation</t>
    </r>
  </si>
  <si>
    <r>
      <rPr>
        <rFont val="Calibri, sans-serif"/>
        <color rgb="FF1155CC"/>
        <sz val="11.0"/>
        <u/>
      </rPr>
      <t>Crowd X for Climate Justice</t>
    </r>
  </si>
  <si>
    <r>
      <rPr>
        <rFont val="Calibri, sans-serif"/>
        <color rgb="FF1155CC"/>
        <sz val="11.0"/>
        <u/>
      </rPr>
      <t>M4W: Offline Field Data Collection Tool Feasibility &amp; MVP</t>
    </r>
  </si>
  <si>
    <r>
      <rPr>
        <rFont val="Calibri, sans-serif"/>
        <color rgb="FF1155CC"/>
        <sz val="11.0"/>
        <u/>
      </rPr>
      <t>Digital Agriculture Blueprint for Tanzania</t>
    </r>
  </si>
  <si>
    <r>
      <rPr>
        <rFont val="Calibri, sans-serif"/>
        <color rgb="FF1155CC"/>
        <sz val="11.0"/>
        <u/>
      </rPr>
      <t>TenaLand Secure Ethiopian land ownership on Cardano.</t>
    </r>
  </si>
  <si>
    <r>
      <rPr>
        <rFont val="Calibri, sans-serif"/>
        <color rgb="FF1155CC"/>
        <sz val="11.0"/>
        <u/>
      </rPr>
      <t>CarMemeShift: for Daily Car Meme Community Engagement</t>
    </r>
  </si>
  <si>
    <r>
      <rPr>
        <rFont val="Calibri, sans-serif"/>
        <color rgb="FF1155CC"/>
        <sz val="11.0"/>
        <u/>
      </rPr>
      <t>NextGen Media Minds: Certified by Cardano</t>
    </r>
  </si>
  <si>
    <r>
      <rPr>
        <rFont val="Calibri, sans-serif"/>
        <color rgb="FF1155CC"/>
        <sz val="11.0"/>
        <u/>
      </rPr>
      <t>ADIUVAT: Reviving local venues &amp; businesses</t>
    </r>
  </si>
  <si>
    <r>
      <rPr>
        <rFont val="Calibri, sans-serif"/>
        <color rgb="FF1155CC"/>
        <sz val="11.0"/>
        <u/>
      </rPr>
      <t>The Consciousness Singularity: Healing Humanity's Soul</t>
    </r>
  </si>
  <si>
    <r>
      <rPr>
        <rFont val="Calibri, sans-serif"/>
        <color rgb="FF1155CC"/>
        <sz val="11.0"/>
        <u/>
      </rPr>
      <t>R-UPC: Meme Token Powering Change in Cameroon and beyond</t>
    </r>
  </si>
  <si>
    <r>
      <rPr>
        <rFont val="Calibri, sans-serif"/>
        <color rgb="FF1155CC"/>
        <sz val="11.0"/>
        <u/>
      </rPr>
      <t>Cardano Hub Indonesia: NuSound Terra Music Platform</t>
    </r>
  </si>
  <si>
    <r>
      <rPr>
        <rFont val="Calibri, sans-serif"/>
        <color rgb="FF1155CC"/>
        <sz val="11.0"/>
        <u/>
      </rPr>
      <t>Entire Co-working Space Tokenized - Sova, HCM on Cardano</t>
    </r>
  </si>
  <si>
    <r>
      <rPr>
        <rFont val="Calibri, sans-serif"/>
        <color rgb="FF1155CC"/>
        <sz val="11.0"/>
        <u/>
      </rPr>
      <t>BRIDGING BARS; Bridging the gap between addicts and help</t>
    </r>
  </si>
  <si>
    <r>
      <rPr>
        <rFont val="Calibri, sans-serif"/>
        <color rgb="FF1155CC"/>
        <sz val="11.0"/>
        <u/>
      </rPr>
      <t>Kenyan Public Servants' Financial Literacy With Cardano</t>
    </r>
  </si>
  <si>
    <r>
      <rPr>
        <rFont val="Calibri, sans-serif"/>
        <color rgb="FF1155CC"/>
        <sz val="11.0"/>
        <u/>
      </rPr>
      <t>NoCode Blockchain Credential Platform for Training Providers</t>
    </r>
  </si>
  <si>
    <r>
      <rPr>
        <rFont val="Calibri, sans-serif"/>
        <color rgb="FF1155CC"/>
        <sz val="11.0"/>
        <u/>
      </rPr>
      <t>VietAssist.Net: Matching jobs and businesses on the Cardano</t>
    </r>
  </si>
  <si>
    <r>
      <rPr>
        <rFont val="Calibri, sans-serif"/>
        <color rgb="FF1155CC"/>
        <sz val="11.0"/>
        <u/>
      </rPr>
      <t>ProjeX UNITRY: University Tree of Life for Students &amp; Alumni</t>
    </r>
  </si>
  <si>
    <r>
      <rPr>
        <rFont val="Calibri, sans-serif"/>
        <color rgb="FF1155CC"/>
        <sz val="11.0"/>
        <u/>
      </rPr>
      <t>KV₳D₳ Sol₳r: Telemeasurement and final disposal</t>
    </r>
  </si>
  <si>
    <r>
      <rPr>
        <rFont val="Calibri, sans-serif"/>
        <color rgb="FF1155CC"/>
        <sz val="11.0"/>
        <u/>
      </rPr>
      <t>Wells of Truth: Unlocking Primary Water Through NFTs &amp; Web3</t>
    </r>
  </si>
  <si>
    <r>
      <rPr>
        <rFont val="Calibri, sans-serif"/>
        <color rgb="FF1155CC"/>
        <sz val="11.0"/>
        <u/>
      </rPr>
      <t>Yeneta Learn2Earn: On-Chain Rewards-Web3 Learners in Africa</t>
    </r>
  </si>
  <si>
    <r>
      <rPr>
        <rFont val="Calibri, sans-serif"/>
        <color rgb="FF1155CC"/>
        <sz val="11.0"/>
        <u/>
      </rPr>
      <t>Turning Daily Steps into Digital Value with Cardano</t>
    </r>
  </si>
  <si>
    <r>
      <rPr>
        <rFont val="Calibri, sans-serif"/>
        <color rgb="FF1155CC"/>
        <sz val="11.0"/>
        <u/>
      </rPr>
      <t>Decentralized Ride-Sharing Reputation System for Ethiopia</t>
    </r>
  </si>
  <si>
    <r>
      <rPr>
        <rFont val="Calibri, sans-serif"/>
        <color rgb="FF1155CC"/>
        <sz val="11.0"/>
        <u/>
      </rPr>
      <t>SaoMai: Collateral-Backed Donations, Secured by Cardano</t>
    </r>
  </si>
  <si>
    <r>
      <rPr>
        <rFont val="Calibri, sans-serif"/>
        <color rgb="FF1155CC"/>
        <sz val="11.0"/>
        <u/>
      </rPr>
      <t>PSEUDONYMOUS COMPUTER: The Handle Search Engine</t>
    </r>
  </si>
  <si>
    <r>
      <rPr>
        <rFont val="Calibri, sans-serif"/>
        <color rgb="FF1155CC"/>
        <sz val="11.0"/>
        <u/>
      </rPr>
      <t>LITERA - platform for writers, poets and literary creatives</t>
    </r>
  </si>
  <si>
    <r>
      <rPr>
        <rFont val="Calibri, sans-serif"/>
        <color rgb="FF1155CC"/>
        <sz val="11.0"/>
        <u/>
      </rPr>
      <t>InjeraTime: Discover &amp; Cook Ethiopian Classics</t>
    </r>
  </si>
  <si>
    <r>
      <rPr>
        <rFont val="Calibri, sans-serif"/>
        <color rgb="FF1155CC"/>
        <sz val="11.0"/>
        <u/>
      </rPr>
      <t>Cultivating Ethical Blockchain Innovation from Africa</t>
    </r>
  </si>
  <si>
    <r>
      <rPr>
        <rFont val="Calibri, sans-serif"/>
        <color rgb="FF1155CC"/>
        <sz val="11.0"/>
        <u/>
      </rPr>
      <t>DomuLabs 🌱 — Environmental IoT with Cardano Donations</t>
    </r>
  </si>
  <si>
    <r>
      <rPr>
        <rFont val="Calibri, sans-serif"/>
        <color rgb="FF1155CC"/>
        <sz val="11.0"/>
        <u/>
      </rPr>
      <t>Protecting your Cardano portfolio with CoverCrypto.io</t>
    </r>
  </si>
  <si>
    <r>
      <rPr>
        <rFont val="Calibri, sans-serif"/>
        <color rgb="FF1155CC"/>
        <sz val="11.0"/>
        <u/>
      </rPr>
      <t>NFTrek - Hike, Collect, Experience</t>
    </r>
  </si>
  <si>
    <r>
      <rPr>
        <rFont val="Calibri, sans-serif"/>
        <color rgb="FF1155CC"/>
        <sz val="11.0"/>
        <u/>
      </rPr>
      <t>Social Equb Staking</t>
    </r>
  </si>
  <si>
    <r>
      <rPr>
        <rFont val="Calibri, sans-serif"/>
        <color rgb="FF1155CC"/>
        <sz val="11.0"/>
        <u/>
      </rPr>
      <t>MBA ITB Alumni Association Platform x Cardano Hub Indonesia</t>
    </r>
  </si>
  <si>
    <r>
      <rPr>
        <rFont val="Calibri, sans-serif"/>
        <color rgb="FF1155CC"/>
        <sz val="11.0"/>
        <u/>
      </rPr>
      <t>Cardano Hub Indonesia: Patient - Dental Ownership Ecosystem</t>
    </r>
  </si>
  <si>
    <r>
      <rPr>
        <rFont val="Calibri, sans-serif"/>
        <color rgb="FF1155CC"/>
        <sz val="11.0"/>
        <u/>
      </rPr>
      <t>M4W: Biodiversity Data Capture &amp; On-Chain Storage</t>
    </r>
  </si>
  <si>
    <r>
      <rPr>
        <rFont val="Calibri, sans-serif"/>
        <color rgb="FF1155CC"/>
        <sz val="11.0"/>
        <u/>
      </rPr>
      <t>CHARLI3 - Open Source Oracle SDK</t>
    </r>
  </si>
  <si>
    <r>
      <rPr>
        <rFont val="Calibri, sans-serif"/>
        <color rgb="FF1155CC"/>
        <sz val="11.0"/>
        <u/>
      </rPr>
      <t>CHARLI3 Dendrite v2: DEX, Lending, P2P DeFi Data Upgrades</t>
    </r>
  </si>
  <si>
    <r>
      <rPr>
        <rFont val="Calibri, sans-serif"/>
        <color rgb="FF1155CC"/>
        <sz val="11.0"/>
        <u/>
      </rPr>
      <t>OgmiosDotnet: Cardano Blockchain Events &amp; Visualisation</t>
    </r>
  </si>
  <si>
    <r>
      <rPr>
        <rFont val="Calibri, sans-serif"/>
        <color rgb="FF1155CC"/>
        <sz val="11.0"/>
        <u/>
      </rPr>
      <t>Cardano DeFi SDK - Dexter &amp; Iris V2</t>
    </r>
  </si>
  <si>
    <r>
      <rPr>
        <rFont val="Calibri, sans-serif"/>
        <color rgb="FF1155CC"/>
        <sz val="11.0"/>
        <u/>
      </rPr>
      <t>Anastasia Labs - Smart Contract Design Patterns Conway+</t>
    </r>
  </si>
  <si>
    <r>
      <rPr>
        <rFont val="Calibri, sans-serif"/>
        <color rgb="FF1155CC"/>
        <sz val="11.0"/>
        <u/>
      </rPr>
      <t>OgmiosDotnet: Blockchain Queries &amp; Transaction Submission</t>
    </r>
  </si>
  <si>
    <r>
      <rPr>
        <rFont val="Calibri, sans-serif"/>
        <color rgb="FF1155CC"/>
        <sz val="11.0"/>
        <u/>
      </rPr>
      <t>Bitcoin Lightning Payments on Cardano using Cardinal</t>
    </r>
  </si>
  <si>
    <r>
      <rPr>
        <rFont val="Calibri, sans-serif"/>
        <color rgb="FF1155CC"/>
        <sz val="11.0"/>
        <u/>
      </rPr>
      <t>VESPR: WalletConnect Cardano Flutter SDK &amp; VESPR Integration</t>
    </r>
  </si>
  <si>
    <r>
      <rPr>
        <rFont val="Calibri, sans-serif"/>
        <color rgb="FF1155CC"/>
        <sz val="11.0"/>
        <u/>
      </rPr>
      <t>EIP-712 Typed structured data signing for Cardano</t>
    </r>
  </si>
  <si>
    <r>
      <rPr>
        <rFont val="Calibri, sans-serif"/>
        <color rgb="FF1155CC"/>
        <sz val="11.0"/>
        <u/>
      </rPr>
      <t>Hydra Mobile SDK for Android &amp; iOS</t>
    </r>
  </si>
  <si>
    <r>
      <rPr>
        <rFont val="Calibri, sans-serif"/>
        <color rgb="FF1155CC"/>
        <sz val="11.0"/>
        <u/>
      </rPr>
      <t>Hydrozoa L2: Pilot-ready Reliability and Performance</t>
    </r>
  </si>
  <si>
    <r>
      <rPr>
        <rFont val="Calibri, sans-serif"/>
        <color rgb="FF1155CC"/>
        <sz val="11.0"/>
        <u/>
      </rPr>
      <t>Extend pallas - Adding to Cardano's core components in Rust</t>
    </r>
  </si>
  <si>
    <r>
      <rPr>
        <rFont val="Calibri, sans-serif"/>
        <color rgb="FF1155CC"/>
        <sz val="11.0"/>
        <u/>
      </rPr>
      <t>ZK-Stables: USDC/USDT Non Custodial Bridge</t>
    </r>
  </si>
  <si>
    <r>
      <rPr>
        <rFont val="Calibri, sans-serif"/>
        <color rgb="FF1155CC"/>
        <sz val="11.0"/>
        <u/>
      </rPr>
      <t>by TxPipe - API Layer for Cardano protocols using Tx3</t>
    </r>
  </si>
  <si>
    <r>
      <rPr>
        <rFont val="Calibri, sans-serif"/>
        <color rgb="FF1155CC"/>
        <sz val="11.0"/>
        <u/>
      </rPr>
      <t>Open DJED maintenance, development and infrastructure</t>
    </r>
  </si>
  <si>
    <r>
      <rPr>
        <rFont val="Calibri, sans-serif"/>
        <color rgb="FF1155CC"/>
        <sz val="11.0"/>
        <u/>
      </rPr>
      <t>Mesh: Cross-Chain Production-Ready Wallet SDK</t>
    </r>
  </si>
  <si>
    <r>
      <rPr>
        <rFont val="Calibri, sans-serif"/>
        <color rgb="FF1155CC"/>
        <sz val="11.0"/>
        <u/>
      </rPr>
      <t>Hydra SDK – Fast, Modular, WASM Cardano Toolkit</t>
    </r>
  </si>
  <si>
    <r>
      <rPr>
        <rFont val="Calibri, sans-serif"/>
        <color rgb="FF1155CC"/>
        <sz val="11.0"/>
        <u/>
      </rPr>
      <t>Plutus Debugger VSCode Plugin</t>
    </r>
  </si>
  <si>
    <r>
      <rPr>
        <rFont val="Calibri, sans-serif"/>
        <color rgb="FF1155CC"/>
        <sz val="11.0"/>
        <u/>
      </rPr>
      <t>MidnightZK Off-Ramp SDK: ADA↔Web2 Payments (Cash App, Wise)</t>
    </r>
  </si>
  <si>
    <r>
      <rPr>
        <rFont val="Calibri, sans-serif"/>
        <color rgb="FF1155CC"/>
        <sz val="11.0"/>
        <u/>
      </rPr>
      <t>Hydra-Powered Micro-PaaS</t>
    </r>
  </si>
  <si>
    <r>
      <rPr>
        <rFont val="Calibri, sans-serif"/>
        <color rgb="FF1155CC"/>
        <sz val="11.0"/>
        <u/>
      </rPr>
      <t>Cardanoscan API SDK - Python</t>
    </r>
  </si>
  <si>
    <r>
      <rPr>
        <rFont val="Calibri, sans-serif"/>
        <color rgb="FF1155CC"/>
        <sz val="11.0"/>
        <u/>
      </rPr>
      <t>Hydra Hexcore – Tool for Deployment Multi-Hydra Party</t>
    </r>
  </si>
  <si>
    <r>
      <rPr>
        <rFont val="Calibri, sans-serif"/>
        <color rgb="FF1155CC"/>
        <sz val="11.0"/>
        <u/>
      </rPr>
      <t>SIDAN - Whisky V2 - Cardano Rust SDK with Pallas</t>
    </r>
  </si>
  <si>
    <r>
      <rPr>
        <rFont val="Calibri, sans-serif"/>
        <color rgb="FF1155CC"/>
        <sz val="11.0"/>
        <u/>
      </rPr>
      <t>Hydrozoa L2: New R&amp;D and Cool Features</t>
    </r>
  </si>
  <si>
    <r>
      <rPr>
        <rFont val="Calibri, sans-serif"/>
        <color rgb="FF1155CC"/>
        <sz val="11.0"/>
        <u/>
      </rPr>
      <t>OpenMM: Cardano’s Universal Market Making Toolkit</t>
    </r>
  </si>
  <si>
    <r>
      <rPr>
        <rFont val="Calibri, sans-serif"/>
        <color rgb="FF1155CC"/>
        <sz val="11.0"/>
        <u/>
      </rPr>
      <t>Hydra Wall Street Library: Integrate with Real-World Finance</t>
    </r>
  </si>
  <si>
    <r>
      <rPr>
        <rFont val="Calibri, sans-serif"/>
        <color rgb="FF1155CC"/>
        <sz val="11.0"/>
        <u/>
      </rPr>
      <t>by TxPipe - Early Aiken vulnerability detection using AI</t>
    </r>
  </si>
  <si>
    <r>
      <rPr>
        <rFont val="Calibri, sans-serif"/>
        <color rgb="FF1155CC"/>
        <sz val="11.0"/>
        <u/>
      </rPr>
      <t>Hydra-Point-of-Sale: Accept ADA, CNTs in Retail &amp; Invoicing</t>
    </r>
  </si>
  <si>
    <r>
      <rPr>
        <rFont val="Calibri, sans-serif"/>
        <color rgb="FF1155CC"/>
        <sz val="11.0"/>
        <u/>
      </rPr>
      <t>by TxPipe - Monitoring Dashboards Tailored for your dApp</t>
    </r>
  </si>
  <si>
    <r>
      <rPr>
        <rFont val="Calibri, sans-serif"/>
        <color rgb="FF1155CC"/>
        <sz val="11.0"/>
        <u/>
      </rPr>
      <t>by Txpipe - White-label e-Commerce Platform on Cardano</t>
    </r>
  </si>
  <si>
    <r>
      <rPr>
        <rFont val="Calibri, sans-serif"/>
        <color rgb="FF1155CC"/>
        <sz val="11.0"/>
        <u/>
      </rPr>
      <t>One Launchpad for All DEXes: Deploy Tokens on Cardano</t>
    </r>
  </si>
  <si>
    <r>
      <rPr>
        <rFont val="Calibri, sans-serif"/>
        <color rgb="FF1155CC"/>
        <sz val="11.0"/>
        <u/>
      </rPr>
      <t>by TxPipe - Shipping Oracle to unlock Cardano e-Commerce</t>
    </r>
  </si>
  <si>
    <r>
      <rPr>
        <rFont val="Calibri, sans-serif"/>
        <color rgb="FF1155CC"/>
        <sz val="11.0"/>
        <u/>
      </rPr>
      <t>Hydrozoa L2: Pilot-ready Modern Interfaces</t>
    </r>
  </si>
  <si>
    <r>
      <rPr>
        <rFont val="Calibri, sans-serif"/>
        <color rgb="FF1155CC"/>
        <sz val="11.0"/>
        <u/>
      </rPr>
      <t>NuNet: Cardano supported SSI/DID for DePIN Orchestration</t>
    </r>
  </si>
  <si>
    <r>
      <rPr>
        <rFont val="Calibri, sans-serif"/>
        <color rgb="FF1155CC"/>
        <sz val="11.0"/>
        <u/>
      </rPr>
      <t>Rapid DEX: Mainnet-Ready, Batcher-Free &amp; Advanced Features</t>
    </r>
  </si>
  <si>
    <r>
      <rPr>
        <rFont val="Calibri, sans-serif"/>
        <color rgb="FF1155CC"/>
        <sz val="11.0"/>
        <u/>
      </rPr>
      <t>Cexplorer: Mini Cardano Explorer for (not only) Local Usage</t>
    </r>
  </si>
  <si>
    <r>
      <rPr>
        <rFont val="Calibri, sans-serif"/>
        <color rgb="FF1155CC"/>
        <sz val="11.0"/>
        <u/>
      </rPr>
      <t>SIDAN - Cardano Bar - Aiken Blueprint Parser for VSCode</t>
    </r>
  </si>
  <si>
    <r>
      <rPr>
        <rFont val="Calibri, sans-serif"/>
        <color rgb="FF1155CC"/>
        <sz val="11.0"/>
        <u/>
      </rPr>
      <t>Datum Explorer: Advanced CBOR tools &amp; Interactive Features</t>
    </r>
  </si>
  <si>
    <r>
      <rPr>
        <rFont val="Calibri, sans-serif"/>
        <color rgb="FF1155CC"/>
        <sz val="11.0"/>
        <u/>
      </rPr>
      <t>No Witness - Hydra Manager</t>
    </r>
  </si>
  <si>
    <r>
      <rPr>
        <rFont val="Calibri, sans-serif"/>
        <color rgb="FF1155CC"/>
        <sz val="11.0"/>
        <u/>
      </rPr>
      <t>SAP–Cardano OData V4 API with CAP &amp; SAP-Cardano SDK</t>
    </r>
  </si>
  <si>
    <r>
      <rPr>
        <rFont val="Calibri, sans-serif"/>
        <color rgb="FF1155CC"/>
        <sz val="11.0"/>
        <u/>
      </rPr>
      <t>Deploy Faster on Cardano: Open-Source Off-Chain Engine</t>
    </r>
  </si>
  <si>
    <r>
      <rPr>
        <rFont val="Calibri, sans-serif"/>
        <color rgb="FF1155CC"/>
        <sz val="11.0"/>
        <u/>
      </rPr>
      <t>SAIB: Chrysalis.Plutus.Core - Parser &amp; CEK Engine for .NET</t>
    </r>
  </si>
  <si>
    <r>
      <rPr>
        <rFont val="Calibri, sans-serif"/>
        <color rgb="FF1155CC"/>
        <sz val="11.0"/>
        <u/>
      </rPr>
      <t>SIDAN - Vodka - Complete Aiken Dev Utils &amp; Testing Framework</t>
    </r>
  </si>
  <si>
    <r>
      <rPr>
        <rFont val="Calibri, sans-serif"/>
        <color rgb="FF1155CC"/>
        <sz val="11.0"/>
        <u/>
      </rPr>
      <t>Multi-chain wallet SDK for Cardano interoperability</t>
    </r>
  </si>
  <si>
    <r>
      <rPr>
        <rFont val="Calibri, sans-serif"/>
        <color rgb="FF1155CC"/>
        <sz val="11.0"/>
        <u/>
      </rPr>
      <t>Prime Wallet: Mass Voting &amp; Multi-Wallet Actions</t>
    </r>
  </si>
  <si>
    <r>
      <rPr>
        <rFont val="Calibri, sans-serif"/>
        <color rgb="FF1155CC"/>
        <sz val="11.0"/>
        <u/>
      </rPr>
      <t>K3 Labs and Waffle Capital | DeFi Agents on Cardano</t>
    </r>
  </si>
  <si>
    <r>
      <rPr>
        <rFont val="Calibri, sans-serif"/>
        <color rgb="FF1155CC"/>
        <sz val="11.0"/>
        <u/>
      </rPr>
      <t>Improving Cardano UX - Transparent Block Production Schedule</t>
    </r>
  </si>
  <si>
    <r>
      <rPr>
        <rFont val="Calibri, sans-serif"/>
        <color rgb="FF1155CC"/>
        <sz val="11.0"/>
        <u/>
      </rPr>
      <t>Anvil - Weld: Massive Updates and Seamless Cardano for dApps</t>
    </r>
  </si>
  <si>
    <r>
      <rPr>
        <rFont val="Calibri, sans-serif"/>
        <color rgb="FF1155CC"/>
        <sz val="11.0"/>
        <u/>
      </rPr>
      <t>Cometa.cpp: Cardano SDK for C++ with Full Conway Era Support</t>
    </r>
  </si>
  <si>
    <r>
      <rPr>
        <rFont val="Calibri, sans-serif"/>
        <color rgb="FF1155CC"/>
        <sz val="11.0"/>
        <u/>
      </rPr>
      <t>Cardano Component UI Library [by Lido Nation]</t>
    </r>
  </si>
  <si>
    <r>
      <rPr>
        <rFont val="Calibri, sans-serif"/>
        <color rgb="FF1155CC"/>
        <sz val="11.0"/>
        <u/>
      </rPr>
      <t>Implement PLONK in Aiken (ZK) - Eryx</t>
    </r>
  </si>
  <si>
    <r>
      <rPr>
        <rFont val="Calibri, sans-serif"/>
        <color rgb="FF1155CC"/>
        <sz val="11.0"/>
        <u/>
      </rPr>
      <t>Hydra Enterprise OS: Onboarding Institutions with Low-code</t>
    </r>
  </si>
  <si>
    <r>
      <rPr>
        <rFont val="Calibri, sans-serif"/>
        <color rgb="FF1155CC"/>
        <sz val="11.0"/>
        <u/>
      </rPr>
      <t>No Witness - MACS coin selection algorithm for Evolution SKD</t>
    </r>
  </si>
  <si>
    <r>
      <rPr>
        <rFont val="Calibri, sans-serif"/>
        <color rgb="FF1155CC"/>
        <sz val="11.0"/>
        <u/>
      </rPr>
      <t>MLabs - CTL JavaScript / TypeScript Interface</t>
    </r>
  </si>
  <si>
    <r>
      <rPr>
        <rFont val="Calibri, sans-serif"/>
        <color rgb="FF1155CC"/>
        <sz val="11.0"/>
        <u/>
      </rPr>
      <t>Bind-friendly C Library for Ledger HW Cardano App</t>
    </r>
  </si>
  <si>
    <r>
      <rPr>
        <rFont val="Calibri, sans-serif"/>
        <color rgb="FF1155CC"/>
        <sz val="11.0"/>
        <u/>
      </rPr>
      <t>SAIB: Chrysalis.Network – Ouroboros Protocols for .NET</t>
    </r>
  </si>
  <si>
    <r>
      <rPr>
        <rFont val="Calibri, sans-serif"/>
        <color rgb="FF1155CC"/>
        <sz val="11.0"/>
        <u/>
      </rPr>
      <t>Cardanoscan for AI Agents: Open Source MCP Server</t>
    </r>
  </si>
  <si>
    <r>
      <rPr>
        <rFont val="Calibri, sans-serif"/>
        <color rgb="FF1155CC"/>
        <sz val="11.0"/>
        <u/>
      </rPr>
      <t>No Witness - Firehose and Substreams Integration for Cardano</t>
    </r>
  </si>
  <si>
    <r>
      <rPr>
        <rFont val="Calibri, sans-serif"/>
        <color rgb="FF1155CC"/>
        <sz val="11.0"/>
        <u/>
      </rPr>
      <t>Evolution 1 of Cardano Native Token Price Indexer in Kotlin</t>
    </r>
  </si>
  <si>
    <r>
      <rPr>
        <rFont val="Calibri, sans-serif"/>
        <color rgb="FF1155CC"/>
        <sz val="11.0"/>
        <u/>
      </rPr>
      <t>Yubikey Cardano Wallet</t>
    </r>
  </si>
  <si>
    <r>
      <rPr>
        <rFont val="Calibri, sans-serif"/>
        <color rgb="FF1155CC"/>
        <sz val="11.0"/>
        <u/>
      </rPr>
      <t>Elixir client for Ouroboros networking protocol</t>
    </r>
  </si>
  <si>
    <r>
      <rPr>
        <rFont val="Calibri, sans-serif"/>
        <color rgb="FF1155CC"/>
        <sz val="11.0"/>
        <u/>
      </rPr>
      <t>SAIB: Chrysalis.Plutus.SDK - Developer Tools &amp; Integration</t>
    </r>
  </si>
  <si>
    <r>
      <rPr>
        <rFont val="Calibri, sans-serif"/>
        <color rgb="FF1155CC"/>
        <sz val="11.0"/>
        <u/>
      </rPr>
      <t>Hydra-Enabled On-Chain ChatGPT for Secure &amp; High-Speed AI</t>
    </r>
  </si>
  <si>
    <r>
      <rPr>
        <rFont val="Calibri, sans-serif"/>
        <color rgb="FF1155CC"/>
        <sz val="11.0"/>
        <u/>
      </rPr>
      <t>Aiken Integration on IntelliJ - Eryx</t>
    </r>
  </si>
  <si>
    <r>
      <rPr>
        <rFont val="Calibri, sans-serif"/>
        <color rgb="FF1155CC"/>
        <sz val="11.0"/>
        <u/>
      </rPr>
      <t>Multi-source Oracle Aggregation</t>
    </r>
  </si>
  <si>
    <r>
      <rPr>
        <rFont val="Calibri, sans-serif"/>
        <color rgb="FF1155CC"/>
        <sz val="11.0"/>
        <u/>
      </rPr>
      <t>Anvil - CSL‑Lite: Modular Cardano Serialization Toolkit</t>
    </r>
  </si>
  <si>
    <r>
      <rPr>
        <rFont val="Calibri, sans-serif"/>
        <color rgb="FF1155CC"/>
        <sz val="11.0"/>
        <u/>
      </rPr>
      <t>Cometa.php: Cardano SDK for PHP with Full Conway Era Support</t>
    </r>
  </si>
  <si>
    <r>
      <rPr>
        <rFont val="Calibri, sans-serif"/>
        <color rgb="FF1155CC"/>
        <sz val="11.0"/>
        <u/>
      </rPr>
      <t>No Witness - Common Vulnerabilities Patterns</t>
    </r>
  </si>
  <si>
    <r>
      <rPr>
        <rFont val="Calibri, sans-serif"/>
        <color rgb="FF1155CC"/>
        <sz val="11.0"/>
        <u/>
      </rPr>
      <t>Atlas PAB: Native Bitcoin (BTC) Integration Layer</t>
    </r>
  </si>
  <si>
    <r>
      <rPr>
        <rFont val="Calibri, sans-serif"/>
        <color rgb="FF1155CC"/>
        <sz val="11.0"/>
        <u/>
      </rPr>
      <t>Plutus Cheatsheet Generator</t>
    </r>
  </si>
  <si>
    <r>
      <rPr>
        <rFont val="Calibri, sans-serif"/>
        <color rgb="FF1155CC"/>
        <sz val="11.0"/>
        <u/>
      </rPr>
      <t>High-Performance Cardano DEX Indexer — Rust + gRPC</t>
    </r>
  </si>
  <si>
    <r>
      <rPr>
        <rFont val="Calibri, sans-serif"/>
        <color rgb="FF1155CC"/>
        <sz val="11.0"/>
        <u/>
      </rPr>
      <t>Cardano Partnerchain Migrator: Solana PE &amp; Avalanche Subnet</t>
    </r>
  </si>
  <si>
    <r>
      <rPr>
        <rFont val="Calibri, sans-serif"/>
        <color rgb="FF1155CC"/>
        <sz val="11.0"/>
        <u/>
      </rPr>
      <t>SAIB: Chrysalis.Tx – Advanced Transaction Building for .NET</t>
    </r>
  </si>
  <si>
    <r>
      <rPr>
        <rFont val="Calibri, sans-serif"/>
        <color rgb="FF1155CC"/>
        <sz val="11.0"/>
        <u/>
      </rPr>
      <t>MLabs: Path Analysis on Covenant</t>
    </r>
  </si>
  <si>
    <r>
      <rPr>
        <rFont val="Calibri, sans-serif"/>
        <color rgb="FF1155CC"/>
        <sz val="11.0"/>
        <u/>
      </rPr>
      <t>Mesh: Privacy-Enabled Smart Contracts and UI for Midnight</t>
    </r>
  </si>
  <si>
    <r>
      <rPr>
        <rFont val="Calibri, sans-serif"/>
        <color rgb="FF1155CC"/>
        <sz val="11.0"/>
        <u/>
      </rPr>
      <t>Cross-Platform SDK: A Unified Cardano Development Kit</t>
    </r>
  </si>
  <si>
    <r>
      <rPr>
        <rFont val="Calibri, sans-serif"/>
        <color rgb="FF1155CC"/>
        <sz val="11.0"/>
        <u/>
      </rPr>
      <t>No Witness - Ghost Codec the Hardhat of Cardano</t>
    </r>
  </si>
  <si>
    <r>
      <rPr>
        <rFont val="Calibri, sans-serif"/>
        <color rgb="FF1155CC"/>
        <sz val="11.0"/>
        <u/>
      </rPr>
      <t>No Witness - Cardano MCP (Model Context Protocol)</t>
    </r>
  </si>
  <si>
    <r>
      <rPr>
        <rFont val="Calibri, sans-serif"/>
        <color rgb="FF1155CC"/>
        <sz val="11.0"/>
        <u/>
      </rPr>
      <t>VDIC-Cardano: Verifiable IPFS Clusters for Cardano</t>
    </r>
  </si>
  <si>
    <r>
      <rPr>
        <rFont val="Calibri, sans-serif"/>
        <color rgb="FF1155CC"/>
        <sz val="11.0"/>
        <u/>
      </rPr>
      <t>CardaPay Seamless Payments Powered by Cardano</t>
    </r>
  </si>
  <si>
    <r>
      <rPr>
        <rFont val="Calibri, sans-serif"/>
        <color rgb="FF1155CC"/>
        <sz val="11.0"/>
        <u/>
      </rPr>
      <t>Aiken JetBrains Extension</t>
    </r>
  </si>
  <si>
    <r>
      <rPr>
        <rFont val="Calibri, sans-serif"/>
        <color rgb="FF1155CC"/>
        <sz val="11.0"/>
        <u/>
      </rPr>
      <t>SAIB: Chrysalis.Plutus.Builtins - Core Runtime Operations</t>
    </r>
  </si>
  <si>
    <r>
      <rPr>
        <rFont val="Calibri, sans-serif"/>
        <color rgb="FF1155CC"/>
        <sz val="11.0"/>
        <u/>
      </rPr>
      <t>ZK-P2P Lending with Midnight ZKPs; Private Loans Cardano Lib</t>
    </r>
  </si>
  <si>
    <r>
      <rPr>
        <rFont val="Calibri, sans-serif"/>
        <color rgb="FF1155CC"/>
        <sz val="11.0"/>
        <u/>
      </rPr>
      <t>Anvil - Scale the Chain: Universal Merkle Bridge POC for L2s</t>
    </r>
  </si>
  <si>
    <r>
      <rPr>
        <rFont val="Calibri, sans-serif"/>
        <color rgb="FF1155CC"/>
        <sz val="11.0"/>
        <u/>
      </rPr>
      <t>Andamio Auth: T3 App Template with Cardano Token-Based Login</t>
    </r>
  </si>
  <si>
    <r>
      <rPr>
        <rFont val="Calibri, sans-serif"/>
        <color rgb="FF1155CC"/>
        <sz val="11.0"/>
        <u/>
      </rPr>
      <t>Shopify + ADA Payments + Native Assets in E-commerce Stores</t>
    </r>
  </si>
  <si>
    <r>
      <rPr>
        <rFont val="Calibri, sans-serif"/>
        <color rgb="FF1155CC"/>
        <sz val="11.0"/>
        <u/>
      </rPr>
      <t>Cardano Passkey</t>
    </r>
  </si>
  <si>
    <r>
      <rPr>
        <rFont val="Calibri, sans-serif"/>
        <color rgb="FF1155CC"/>
        <sz val="11.0"/>
        <u/>
      </rPr>
      <t>SAIB: Chrysalis.CBOR – .NET's CBOR (De)serialization Engine</t>
    </r>
  </si>
  <si>
    <r>
      <rPr>
        <rFont val="Calibri, sans-serif"/>
        <color rgb="FF1155CC"/>
        <sz val="11.0"/>
        <u/>
      </rPr>
      <t>COTS-CLI: Cardano Offline Transaction Simulator</t>
    </r>
  </si>
  <si>
    <r>
      <rPr>
        <rFont val="Calibri, sans-serif"/>
        <color rgb="FF1155CC"/>
        <sz val="11.0"/>
        <u/>
      </rPr>
      <t>Boost Developer Efficiency: Cardano + Midnight Dev MCP Agent</t>
    </r>
  </si>
  <si>
    <r>
      <rPr>
        <rFont val="Calibri, sans-serif"/>
        <color rgb="FF1155CC"/>
        <sz val="11.0"/>
        <u/>
      </rPr>
      <t>Cexplorer: Open Addon System for Metadata and Scripts</t>
    </r>
  </si>
  <si>
    <r>
      <rPr>
        <rFont val="Calibri, sans-serif"/>
        <color rgb="FF1155CC"/>
        <sz val="11.0"/>
        <u/>
      </rPr>
      <t>Cometa.lua: Cardano SDK for Lua with Full Conway Era Support</t>
    </r>
  </si>
  <si>
    <r>
      <rPr>
        <rFont val="Calibri, sans-serif"/>
        <color rgb="FF1155CC"/>
        <sz val="11.0"/>
        <u/>
      </rPr>
      <t>Orcfax Live Feed Extension – Latest Price Smart Contract</t>
    </r>
  </si>
  <si>
    <r>
      <rPr>
        <rFont val="Calibri, sans-serif"/>
        <color rgb="FF1155CC"/>
        <sz val="11.0"/>
        <u/>
      </rPr>
      <t>Cexplorer: Public Entity DB and Mgmt for Pool/Drep/Asset/...</t>
    </r>
  </si>
  <si>
    <r>
      <rPr>
        <rFont val="Calibri, sans-serif"/>
        <color rgb="FF1155CC"/>
        <sz val="11.0"/>
        <u/>
      </rPr>
      <t>Unified Open Source DAO Analytics for Cardano</t>
    </r>
  </si>
  <si>
    <r>
      <rPr>
        <rFont val="Calibri, sans-serif"/>
        <color rgb="FF1155CC"/>
        <sz val="11.0"/>
        <u/>
      </rPr>
      <t>Koios C++ Client Library</t>
    </r>
  </si>
  <si>
    <r>
      <rPr>
        <rFont val="Calibri, sans-serif"/>
        <color rgb="FF1155CC"/>
        <sz val="11.0"/>
        <u/>
      </rPr>
      <t>AI-Powered Smart Contract Auditing Tool for Cardano</t>
    </r>
  </si>
  <si>
    <r>
      <rPr>
        <rFont val="Calibri, sans-serif"/>
        <color rgb="FF1155CC"/>
        <sz val="11.0"/>
        <u/>
      </rPr>
      <t>Midnight and Open Zeppelin Partnership for Computation</t>
    </r>
  </si>
  <si>
    <r>
      <rPr>
        <rFont val="Calibri, sans-serif"/>
        <color rgb="FF1155CC"/>
        <sz val="11.0"/>
        <u/>
      </rPr>
      <t>Cometa.rb: Cardano SDK for Ruby with Full Conway Era Support</t>
    </r>
  </si>
  <si>
    <r>
      <rPr>
        <rFont val="Calibri, sans-serif"/>
        <color rgb="FF1155CC"/>
        <sz val="11.0"/>
        <u/>
      </rPr>
      <t>Fast and Reliable Public Access to Cardano APIs</t>
    </r>
  </si>
  <si>
    <r>
      <rPr>
        <rFont val="Calibri, sans-serif"/>
        <color rgb="FF1155CC"/>
        <sz val="11.0"/>
        <u/>
      </rPr>
      <t>Cardano Postman</t>
    </r>
  </si>
  <si>
    <r>
      <rPr>
        <rFont val="Calibri, sans-serif"/>
        <color rgb="FF1155CC"/>
        <sz val="11.0"/>
        <u/>
      </rPr>
      <t>Cardano DEX Programming Toolkit (OS MM/Arb Building Blocks)</t>
    </r>
  </si>
  <si>
    <r>
      <rPr>
        <rFont val="Calibri, sans-serif"/>
        <color rgb="FF1155CC"/>
        <sz val="11.0"/>
        <u/>
      </rPr>
      <t>ADA Payment Gateway (Phase 2): WordPress &amp; WooCommerce Integ</t>
    </r>
  </si>
  <si>
    <r>
      <rPr>
        <rFont val="Calibri, sans-serif"/>
        <color rgb="FF1155CC"/>
        <sz val="11.0"/>
        <u/>
      </rPr>
      <t>Dandelion: new CardanoGraphQL+Blockfrost+Yaci over GraphQL</t>
    </r>
  </si>
  <si>
    <r>
      <rPr>
        <rFont val="Calibri, sans-serif"/>
        <color rgb="FF1155CC"/>
        <sz val="11.0"/>
        <u/>
      </rPr>
      <t>Unified Open Analytics for Cardano DeFi</t>
    </r>
  </si>
  <si>
    <r>
      <rPr>
        <rFont val="Calibri, sans-serif"/>
        <color rgb="FF1155CC"/>
        <sz val="11.0"/>
        <u/>
      </rPr>
      <t>P2E ADA: Open-Source Framework for Game Devs</t>
    </r>
  </si>
  <si>
    <r>
      <rPr>
        <rFont val="Calibri, sans-serif"/>
        <color rgb="FF1155CC"/>
        <sz val="11.0"/>
        <u/>
      </rPr>
      <t>Genesis: Open Source Multi-Sig Wallet</t>
    </r>
  </si>
  <si>
    <r>
      <rPr>
        <rFont val="Calibri, sans-serif"/>
        <color rgb="FF1155CC"/>
        <sz val="11.0"/>
        <u/>
      </rPr>
      <t>Cardano AI Wallet Alerts for Instant Blockchain Events</t>
    </r>
  </si>
  <si>
    <r>
      <rPr>
        <rFont val="Calibri, sans-serif"/>
        <color rgb="FF1155CC"/>
        <sz val="11.0"/>
        <u/>
      </rPr>
      <t>Adder: RealTime Governance &amp; Mempool Tracking by Blink Labs</t>
    </r>
  </si>
  <si>
    <r>
      <rPr>
        <rFont val="Calibri, sans-serif"/>
        <color rgb="FF1155CC"/>
        <sz val="11.0"/>
        <u/>
      </rPr>
      <t>CSPO-CLI: Secure, Simple Key Management for Cardano SPOs</t>
    </r>
  </si>
  <si>
    <r>
      <rPr>
        <rFont val="Calibri, sans-serif"/>
        <color rgb="FF1155CC"/>
        <sz val="11.0"/>
        <u/>
      </rPr>
      <t>Inheritance Smart Contracts (Web3 and Real World)- GenWealth</t>
    </r>
  </si>
  <si>
    <r>
      <rPr>
        <rFont val="Calibri, sans-serif"/>
        <color rgb="FF1155CC"/>
        <sz val="11.0"/>
        <u/>
      </rPr>
      <t>Mesh: Transaction V2 Unified Serialization feat. Pallas</t>
    </r>
  </si>
  <si>
    <r>
      <rPr>
        <rFont val="Calibri, sans-serif"/>
        <color rgb="FF1155CC"/>
        <sz val="11.0"/>
        <u/>
      </rPr>
      <t>Solidity to Aiken 1-Click Cross Chain Code Tool</t>
    </r>
  </si>
  <si>
    <r>
      <rPr>
        <rFont val="Calibri, sans-serif"/>
        <color rgb="FF1155CC"/>
        <sz val="11.0"/>
        <u/>
      </rPr>
      <t>TradFi MidnightZK SDK – Bridge Banking to Cardano DeFi</t>
    </r>
  </si>
  <si>
    <r>
      <rPr>
        <rFont val="Calibri, sans-serif"/>
        <color rgb="FF1155CC"/>
        <sz val="11.0"/>
        <u/>
      </rPr>
      <t>EVM-to-eUTXO Contract Translator Toolkit</t>
    </r>
  </si>
  <si>
    <r>
      <rPr>
        <rFont val="Calibri, sans-serif"/>
        <color rgb="FF1155CC"/>
        <sz val="11.0"/>
        <u/>
      </rPr>
      <t>HLabs: Buildooor &lt;&gt; UTxO RPC</t>
    </r>
  </si>
  <si>
    <r>
      <rPr>
        <rFont val="Calibri, sans-serif"/>
        <color rgb="FF1155CC"/>
        <sz val="11.0"/>
        <u/>
      </rPr>
      <t>BankerLabs x Yepple: Airdrop Solutions - API &amp; SDK</t>
    </r>
  </si>
  <si>
    <r>
      <rPr>
        <rFont val="Calibri, sans-serif"/>
        <color rgb="FF1155CC"/>
        <sz val="11.0"/>
        <u/>
      </rPr>
      <t>Unlocking Dual Rewards with ADA + NIGHT</t>
    </r>
  </si>
  <si>
    <r>
      <rPr>
        <rFont val="Calibri, sans-serif"/>
        <color rgb="FF1155CC"/>
        <sz val="11.0"/>
        <u/>
      </rPr>
      <t>CardanoWeb3js — Enhancing the TypeScript SDK for Cardano</t>
    </r>
  </si>
  <si>
    <r>
      <rPr>
        <rFont val="Calibri, sans-serif"/>
        <color rgb="FF1155CC"/>
        <sz val="11.0"/>
        <u/>
      </rPr>
      <t>GovernanceSpace - All-in-One Governance Platform Enhancement</t>
    </r>
  </si>
  <si>
    <r>
      <rPr>
        <rFont val="Calibri, sans-serif"/>
        <color rgb="FF1155CC"/>
        <sz val="11.0"/>
        <u/>
      </rPr>
      <t>BankerLabs x Yepple: CIP-68 Token SDK to Fuel DeFi &amp; DePIN</t>
    </r>
  </si>
  <si>
    <r>
      <rPr>
        <rFont val="Calibri, sans-serif"/>
        <color rgb="FF1155CC"/>
        <sz val="11.0"/>
        <u/>
      </rPr>
      <t>Visual Aiken Smart Contract Builder (No-Code Platform)</t>
    </r>
  </si>
  <si>
    <r>
      <rPr>
        <rFont val="Calibri, sans-serif"/>
        <color rgb="FF1155CC"/>
        <sz val="11.0"/>
        <u/>
      </rPr>
      <t>Cardano IoT SDK - C++ Toolkit for IoT Integration on Cardano</t>
    </r>
  </si>
  <si>
    <r>
      <rPr>
        <rFont val="Calibri, sans-serif"/>
        <color rgb="FF1155CC"/>
        <sz val="11.0"/>
        <u/>
      </rPr>
      <t>Scaffold Cardano: Aiken Development Toolkit</t>
    </r>
  </si>
  <si>
    <r>
      <rPr>
        <rFont val="Calibri, sans-serif"/>
        <color rgb="FF1155CC"/>
        <sz val="11.0"/>
        <u/>
      </rPr>
      <t>AikenPilot - MCP</t>
    </r>
  </si>
  <si>
    <r>
      <rPr>
        <rFont val="Calibri, sans-serif"/>
        <color rgb="FF1155CC"/>
        <sz val="11.0"/>
        <u/>
      </rPr>
      <t>UTxO Timeline Graph: Visual Time-Travel Debugging for Devs</t>
    </r>
  </si>
  <si>
    <r>
      <rPr>
        <rFont val="Calibri, sans-serif"/>
        <color rgb="FF1155CC"/>
        <sz val="11.0"/>
        <u/>
      </rPr>
      <t>cardano-dev-mcp: MCP for Devs of Cardano</t>
    </r>
  </si>
  <si>
    <r>
      <rPr>
        <rFont val="Calibri, sans-serif"/>
        <color rgb="FF1155CC"/>
        <sz val="11.0"/>
        <u/>
      </rPr>
      <t>Cardano*GPT: AI-Powered Prompt-to-Smart Contract Generator</t>
    </r>
  </si>
  <si>
    <r>
      <rPr>
        <rFont val="Calibri, sans-serif"/>
        <color rgb="FF1155CC"/>
        <sz val="11.0"/>
        <u/>
      </rPr>
      <t>Next-Gen AI and Blockchain SDK for Mobile app Developers</t>
    </r>
  </si>
  <si>
    <r>
      <rPr>
        <rFont val="Calibri, sans-serif"/>
        <color rgb="FF1155CC"/>
        <sz val="11.0"/>
        <u/>
      </rPr>
      <t>Midnight privacy Voting SDK</t>
    </r>
  </si>
  <si>
    <r>
      <rPr>
        <rFont val="Calibri, sans-serif"/>
        <color rgb="FF1155CC"/>
        <sz val="11.0"/>
        <u/>
      </rPr>
      <t>GeoSpace API</t>
    </r>
  </si>
  <si>
    <r>
      <rPr>
        <rFont val="Calibri, sans-serif"/>
        <color rgb="FF1155CC"/>
        <sz val="11.0"/>
        <u/>
      </rPr>
      <t>Open-Source Batchers for Orderbook DEXs</t>
    </r>
  </si>
  <si>
    <r>
      <rPr>
        <rFont val="Calibri, sans-serif"/>
        <color rgb="FF1155CC"/>
        <sz val="11.0"/>
        <u/>
      </rPr>
      <t>Wolfram Cardano MCP Server: Smart Contracts &amp; Catalyst</t>
    </r>
  </si>
  <si>
    <r>
      <rPr>
        <rFont val="Calibri, sans-serif"/>
        <color rgb="FF1155CC"/>
        <sz val="11.0"/>
        <u/>
      </rPr>
      <t>Multi-Chain Bridge</t>
    </r>
  </si>
  <si>
    <r>
      <rPr>
        <rFont val="Calibri, sans-serif"/>
        <color rgb="FF1155CC"/>
        <sz val="11.0"/>
        <u/>
      </rPr>
      <t>HLabs: cddl-tools</t>
    </r>
  </si>
  <si>
    <r>
      <rPr>
        <rFont val="Calibri, sans-serif"/>
        <color rgb="FF1155CC"/>
        <sz val="11.0"/>
        <u/>
      </rPr>
      <t>Smart Contract Legal Template Library for Cardano Projects</t>
    </r>
  </si>
  <si>
    <r>
      <rPr>
        <rFont val="Calibri, sans-serif"/>
        <color rgb="FF1155CC"/>
        <sz val="11.0"/>
        <u/>
      </rPr>
      <t>Public API &amp; Integration Guide for Cardano Lending Protocols</t>
    </r>
  </si>
  <si>
    <r>
      <rPr>
        <rFont val="Calibri, sans-serif"/>
        <color rgb="FF1155CC"/>
        <sz val="11.0"/>
        <u/>
      </rPr>
      <t>Reeve's integration with Largest ERP in LATAM TOTVS Protheus</t>
    </r>
  </si>
  <si>
    <r>
      <rPr>
        <rFont val="Calibri, sans-serif"/>
        <color rgb="FF1155CC"/>
        <sz val="11.0"/>
        <u/>
      </rPr>
      <t>Cardano AI Hub: Decentralized AI Model ADA Microtransactions</t>
    </r>
  </si>
  <si>
    <r>
      <rPr>
        <rFont val="Calibri, sans-serif"/>
        <color rgb="FF1155CC"/>
        <sz val="11.0"/>
        <u/>
      </rPr>
      <t>Global Waste Recovery: Verified Connection through Cardano</t>
    </r>
  </si>
  <si>
    <r>
      <rPr>
        <rFont val="Calibri, sans-serif"/>
        <color rgb="FF1155CC"/>
        <sz val="11.0"/>
        <u/>
      </rPr>
      <t>Cardano Devnet Sandbox (Hardhat/Anvil-style Local Testnet)</t>
    </r>
  </si>
  <si>
    <r>
      <rPr>
        <rFont val="Calibri, sans-serif"/>
        <color rgb="FF1155CC"/>
        <sz val="11.0"/>
        <u/>
      </rPr>
      <t>DeFi Hub - One Open Standard, All Cardano DeFi in One Place</t>
    </r>
  </si>
  <si>
    <r>
      <rPr>
        <rFont val="Calibri, sans-serif"/>
        <color rgb="FF1155CC"/>
        <sz val="11.0"/>
        <u/>
      </rPr>
      <t>Governance AI Assitant</t>
    </r>
  </si>
  <si>
    <r>
      <rPr>
        <rFont val="Calibri, sans-serif"/>
        <color rgb="FF1155CC"/>
        <sz val="11.0"/>
        <u/>
      </rPr>
      <t>CardaPass — Fraud-Proof Event Ticketing on Cardano (NFT)</t>
    </r>
  </si>
  <si>
    <r>
      <rPr>
        <rFont val="Calibri, sans-serif"/>
        <color rgb="FF1155CC"/>
        <sz val="11.0"/>
        <u/>
      </rPr>
      <t>[BLAB]:CIP68 Asset API Service &amp; SDK Development</t>
    </r>
  </si>
  <si>
    <r>
      <rPr>
        <rFont val="Calibri, sans-serif"/>
        <color rgb="FF1155CC"/>
        <sz val="11.0"/>
        <u/>
      </rPr>
      <t>Cardano open source supply chain traceability API &amp; SDK</t>
    </r>
  </si>
  <si>
    <r>
      <rPr>
        <rFont val="Calibri, sans-serif"/>
        <color rgb="FF1155CC"/>
        <sz val="11.0"/>
        <u/>
      </rPr>
      <t>Phoenix Explorer: Reviving an Open-source Explorer</t>
    </r>
  </si>
  <si>
    <r>
      <rPr>
        <rFont val="Calibri, sans-serif"/>
        <color rgb="FF1155CC"/>
        <sz val="11.0"/>
        <u/>
      </rPr>
      <t>TMT CARDANO NATIVE TOKEN MINTER</t>
    </r>
  </si>
  <si>
    <r>
      <rPr>
        <rFont val="Calibri, sans-serif"/>
        <color rgb="FF1155CC"/>
        <sz val="11.0"/>
        <u/>
      </rPr>
      <t>Cardano Impact DevKit: Attestations &amp; Governance (SDK/CLI)</t>
    </r>
  </si>
  <si>
    <r>
      <rPr>
        <rFont val="Calibri, sans-serif"/>
        <color rgb="FF1155CC"/>
        <sz val="11.0"/>
        <u/>
      </rPr>
      <t>[BLAB]: Hydra's First Steps for Dev - 5 dApp Templates on L2</t>
    </r>
  </si>
  <si>
    <r>
      <rPr>
        <rFont val="Calibri, sans-serif"/>
        <color rgb="FF1155CC"/>
        <sz val="11.0"/>
        <u/>
      </rPr>
      <t>Decentralized Stablecoin Protocol On Midnight</t>
    </r>
  </si>
  <si>
    <r>
      <rPr>
        <rFont val="Calibri, sans-serif"/>
        <color rgb="FF1155CC"/>
        <sz val="11.0"/>
        <u/>
      </rPr>
      <t>Orthogonal Persistence for DApps on Cardano by Sky Protocol</t>
    </r>
  </si>
  <si>
    <r>
      <rPr>
        <rFont val="Calibri, sans-serif"/>
        <color rgb="FF1155CC"/>
        <sz val="11.0"/>
        <u/>
      </rPr>
      <t>.Net Identus SDK</t>
    </r>
  </si>
  <si>
    <r>
      <rPr>
        <rFont val="Calibri, sans-serif"/>
        <color rgb="FF1155CC"/>
        <sz val="11.0"/>
        <u/>
      </rPr>
      <t>SmartContract AI: Boosting Plutus &amp; Marlowe Developers Power</t>
    </r>
  </si>
  <si>
    <r>
      <rPr>
        <rFont val="Calibri, sans-serif"/>
        <color rgb="FF1155CC"/>
        <sz val="11.0"/>
        <u/>
      </rPr>
      <t>TexStream: Real-Time Multi-DEX Price &amp; Pool Data</t>
    </r>
  </si>
  <si>
    <r>
      <rPr>
        <rFont val="Calibri, sans-serif"/>
        <color rgb="FF1155CC"/>
        <sz val="11.0"/>
        <u/>
      </rPr>
      <t>Cardano Smart Contract Visual Debugger (C-SCVD)</t>
    </r>
  </si>
  <si>
    <r>
      <rPr>
        <rFont val="Calibri, sans-serif"/>
        <color rgb="FF1155CC"/>
        <sz val="11.0"/>
        <u/>
      </rPr>
      <t>Community-Owned Zero Knowledge Governance L2 + Token Economy</t>
    </r>
  </si>
  <si>
    <r>
      <rPr>
        <rFont val="Calibri, sans-serif"/>
        <color rgb="FF1155CC"/>
        <sz val="11.0"/>
        <u/>
      </rPr>
      <t>[Spidex] AI Copilot for Cardano DeFi &amp; SDK for builders</t>
    </r>
  </si>
  <si>
    <r>
      <rPr>
        <rFont val="Calibri, sans-serif"/>
        <color rgb="FF1155CC"/>
        <sz val="11.0"/>
        <u/>
      </rPr>
      <t>Shutter API: Encryption-as-a-Service for Cardano (DeFi POC)</t>
    </r>
  </si>
  <si>
    <r>
      <rPr>
        <rFont val="Calibri, sans-serif"/>
        <color rgb="FF1155CC"/>
        <sz val="11.0"/>
        <u/>
      </rPr>
      <t>AI-powered privacy &amp; compliance testing for Midnight</t>
    </r>
  </si>
  <si>
    <r>
      <rPr>
        <rFont val="Calibri, sans-serif"/>
        <color rgb="FF1155CC"/>
        <sz val="11.0"/>
        <u/>
      </rPr>
      <t>“Plutus Playground Templates Library”</t>
    </r>
  </si>
  <si>
    <r>
      <rPr>
        <rFont val="Calibri, sans-serif"/>
        <color rgb="FF1155CC"/>
        <sz val="11.0"/>
        <u/>
      </rPr>
      <t>Zeus AI SDK: Supercharging Devs on Cardano</t>
    </r>
  </si>
  <si>
    <r>
      <rPr>
        <rFont val="Calibri, sans-serif"/>
        <color rgb="FF1155CC"/>
        <sz val="11.0"/>
        <u/>
      </rPr>
      <t>[BBO] OpenMCP Cardano: Enabling AI-ready onchain data access</t>
    </r>
  </si>
  <si>
    <r>
      <rPr>
        <rFont val="Calibri, sans-serif"/>
        <color rgb="FF1155CC"/>
        <sz val="11.0"/>
        <u/>
      </rPr>
      <t>Cardano SDK for Mobile dApp Development</t>
    </r>
  </si>
  <si>
    <r>
      <rPr>
        <rFont val="Calibri, sans-serif"/>
        <color rgb="FF1155CC"/>
        <sz val="11.0"/>
        <u/>
      </rPr>
      <t>Gamechanger: Instant dApp, build for any device fast</t>
    </r>
  </si>
  <si>
    <r>
      <rPr>
        <rFont val="Calibri, sans-serif"/>
        <color rgb="FF1155CC"/>
        <sz val="11.0"/>
        <u/>
      </rPr>
      <t>Advanced Cardano Smart Contract Analytics &amp; Dashboard</t>
    </r>
  </si>
  <si>
    <r>
      <rPr>
        <rFont val="Calibri, sans-serif"/>
        <color rgb="FF1155CC"/>
        <sz val="11.0"/>
        <u/>
      </rPr>
      <t>Midnight privacy Vote Base research</t>
    </r>
  </si>
  <si>
    <r>
      <rPr>
        <rFont val="Calibri, sans-serif"/>
        <color rgb="FF1155CC"/>
        <sz val="11.0"/>
        <u/>
      </rPr>
      <t>Onboarding to Web3: Modular Applications for Web2 Builders</t>
    </r>
  </si>
  <si>
    <r>
      <rPr>
        <rFont val="Calibri, sans-serif"/>
        <color rgb="FF1155CC"/>
        <sz val="11.0"/>
        <u/>
      </rPr>
      <t>DRep Governance Console</t>
    </r>
  </si>
  <si>
    <r>
      <rPr>
        <rFont val="Calibri, sans-serif"/>
        <color rgb="FF1155CC"/>
        <sz val="11.0"/>
        <u/>
      </rPr>
      <t>Coxylib.js - Simplifying Cardano DApp Development</t>
    </r>
  </si>
  <si>
    <r>
      <rPr>
        <rFont val="Calibri, sans-serif"/>
        <color rgb="FF1155CC"/>
        <sz val="11.0"/>
        <u/>
      </rPr>
      <t>Shopify Token-Gated Commerce Plugin</t>
    </r>
  </si>
  <si>
    <r>
      <rPr>
        <rFont val="Calibri, sans-serif"/>
        <color rgb="FF1155CC"/>
        <sz val="11.0"/>
        <u/>
      </rPr>
      <t>Cexplorer: Public Native Asset Img Thumbnail Server</t>
    </r>
  </si>
  <si>
    <r>
      <rPr>
        <rFont val="Calibri, sans-serif"/>
        <color rgb="FF1155CC"/>
        <sz val="11.0"/>
        <u/>
      </rPr>
      <t>Frictionless Onboarding: Open-Source Web2 Login to Wallet</t>
    </r>
  </si>
  <si>
    <r>
      <rPr>
        <rFont val="Calibri, sans-serif"/>
        <color rgb="FF1155CC"/>
        <sz val="11.0"/>
        <u/>
      </rPr>
      <t>Aiken Playground - Online IDE</t>
    </r>
  </si>
  <si>
    <r>
      <rPr>
        <rFont val="Calibri, sans-serif"/>
        <color rgb="FF1155CC"/>
        <sz val="11.0"/>
        <u/>
      </rPr>
      <t>Cardano Identity: A Secure WordPress Plugin &amp; Token-Gating</t>
    </r>
  </si>
  <si>
    <r>
      <rPr>
        <rFont val="Calibri, sans-serif"/>
        <color rgb="FF1155CC"/>
        <sz val="11.0"/>
        <u/>
      </rPr>
      <t>Wolfram Plutus RAG: The AI-Powered Knowledge Engine</t>
    </r>
  </si>
  <si>
    <r>
      <rPr>
        <rFont val="Calibri, sans-serif"/>
        <color rgb="FF1155CC"/>
        <sz val="11.0"/>
        <u/>
      </rPr>
      <t>UPLC Stepper — The Cardano Smart Contract Debugger</t>
    </r>
  </si>
  <si>
    <r>
      <rPr>
        <rFont val="Calibri, sans-serif"/>
        <color rgb="FF1155CC"/>
        <sz val="11.0"/>
        <u/>
      </rPr>
      <t>Add datalog support and power to cardano developers</t>
    </r>
  </si>
  <si>
    <r>
      <rPr>
        <rFont val="Calibri, sans-serif"/>
        <color rgb="FF1155CC"/>
        <sz val="11.0"/>
        <u/>
      </rPr>
      <t>Connect The Dots: Cardano Integration For Drupal</t>
    </r>
  </si>
  <si>
    <r>
      <rPr>
        <rFont val="Calibri, sans-serif"/>
        <color rgb="FF1155CC"/>
        <sz val="11.0"/>
        <u/>
      </rPr>
      <t>ZK-CAD Prior-Art Vault</t>
    </r>
  </si>
  <si>
    <r>
      <rPr>
        <rFont val="Calibri, sans-serif"/>
        <color rgb="FF1155CC"/>
        <sz val="11.0"/>
        <u/>
      </rPr>
      <t>Enhanced MCP Server for Aiken-Plutus Development on eUTxO</t>
    </r>
  </si>
  <si>
    <r>
      <rPr>
        <rFont val="Calibri, sans-serif"/>
        <color rgb="FF1155CC"/>
        <sz val="11.0"/>
        <u/>
      </rPr>
      <t>stealthWallet - self-custody wallet with dex integration</t>
    </r>
  </si>
  <si>
    <r>
      <rPr>
        <rFont val="Calibri, sans-serif"/>
        <color rgb="FF1155CC"/>
        <sz val="11.0"/>
        <u/>
      </rPr>
      <t>Cardano Smart Contract Templates Library</t>
    </r>
  </si>
  <si>
    <r>
      <rPr>
        <rFont val="Calibri, sans-serif"/>
        <color rgb="FF1155CC"/>
        <sz val="11.0"/>
        <u/>
      </rPr>
      <t>Next-Gen Testing Sandbox for Plutus: Smart AI for Developers</t>
    </r>
  </si>
  <si>
    <r>
      <rPr>
        <rFont val="Calibri, sans-serif"/>
        <color rgb="FF1155CC"/>
        <sz val="11.0"/>
        <u/>
      </rPr>
      <t>Sky Protocol - Implement a minimal decentralized network</t>
    </r>
  </si>
  <si>
    <r>
      <rPr>
        <rFont val="Calibri, sans-serif"/>
        <color rgb="FF1155CC"/>
        <sz val="11.0"/>
        <u/>
      </rPr>
      <t>Redefining Cardano Access and Innovation for All</t>
    </r>
  </si>
  <si>
    <r>
      <rPr>
        <rFont val="Calibri, sans-serif"/>
        <color rgb="FF1155CC"/>
        <sz val="11.0"/>
        <u/>
      </rPr>
      <t>Cardano DevTrack: A Cardano Development and Tooling Platform</t>
    </r>
  </si>
  <si>
    <r>
      <rPr>
        <rFont val="Calibri, sans-serif"/>
        <color rgb="FF1155CC"/>
        <sz val="11.0"/>
        <u/>
      </rPr>
      <t>Mobile First Swift Cardano Building Blocks</t>
    </r>
  </si>
  <si>
    <r>
      <rPr>
        <rFont val="Calibri, sans-serif"/>
        <color rgb="FF1155CC"/>
        <sz val="11.0"/>
        <u/>
      </rPr>
      <t>Catalyst Compass:Open-Source AI-Powered Proposal Navigator</t>
    </r>
  </si>
  <si>
    <r>
      <rPr>
        <rFont val="Calibri, sans-serif"/>
        <color rgb="FF1155CC"/>
        <sz val="11.0"/>
        <u/>
      </rPr>
      <t>DevHub: All Cardano Resources, One Platform</t>
    </r>
  </si>
  <si>
    <r>
      <rPr>
        <rFont val="Calibri, sans-serif"/>
        <color rgb="FF1155CC"/>
        <sz val="11.0"/>
        <u/>
      </rPr>
      <t>CEMScript SDK: get DApp implementation from high-level specs</t>
    </r>
  </si>
  <si>
    <r>
      <rPr>
        <rFont val="Calibri, sans-serif"/>
        <color rgb="FF1155CC"/>
        <sz val="11.0"/>
        <u/>
      </rPr>
      <t>Basic implementation of CIP-0093 in Python</t>
    </r>
  </si>
  <si>
    <r>
      <rPr>
        <rFont val="Calibri, sans-serif"/>
        <color rgb="FF1155CC"/>
        <sz val="11.0"/>
        <u/>
      </rPr>
      <t>Cardano Dev Suite: Automated Tools &amp; Templates</t>
    </r>
  </si>
  <si>
    <r>
      <rPr>
        <rFont val="Calibri, sans-serif"/>
        <color rgb="FF1155CC"/>
        <sz val="11.0"/>
        <u/>
      </rPr>
      <t>Cardano Verifiable Media Dev Kit (C2PA + Anchors)</t>
    </r>
  </si>
  <si>
    <r>
      <rPr>
        <rFont val="Calibri, sans-serif"/>
        <color rgb="FF1155CC"/>
        <sz val="11.0"/>
        <u/>
      </rPr>
      <t>Cardano Kubernetes Operator</t>
    </r>
  </si>
  <si>
    <r>
      <rPr>
        <rFont val="Calibri, sans-serif"/>
        <color rgb="FF1155CC"/>
        <sz val="11.0"/>
        <u/>
      </rPr>
      <t>Aegis: Your AI Security Guardian for Cardano</t>
    </r>
  </si>
  <si>
    <r>
      <rPr>
        <rFont val="Calibri, sans-serif"/>
        <color rgb="FF1155CC"/>
        <sz val="11.0"/>
        <u/>
      </rPr>
      <t>ADAM Cardano: SPO Visibility &amp; Open-Source Price API</t>
    </r>
  </si>
  <si>
    <r>
      <rPr>
        <rFont val="Calibri, sans-serif"/>
        <color rgb="FF1155CC"/>
        <sz val="11.0"/>
        <u/>
      </rPr>
      <t>CatalystBridge: Accessibility for Catalyst Governance</t>
    </r>
  </si>
  <si>
    <r>
      <rPr>
        <rFont val="Calibri, sans-serif"/>
        <color rgb="FF1155CC"/>
        <sz val="11.0"/>
        <u/>
      </rPr>
      <t>Cardano Web3 Toolkit: Build dApps &amp; Contracts</t>
    </r>
  </si>
  <si>
    <r>
      <rPr>
        <rFont val="Calibri, sans-serif"/>
        <color rgb="FF1155CC"/>
        <sz val="11.0"/>
        <u/>
      </rPr>
      <t>TxCheck: An Aiken Framework for Tx Testing and Simulation</t>
    </r>
  </si>
  <si>
    <r>
      <rPr>
        <rFont val="Calibri, sans-serif"/>
        <color rgb="FF1155CC"/>
        <sz val="11.0"/>
        <u/>
      </rPr>
      <t>On‑Chain Smart Contract Classifier Library (Python/JS) 📚</t>
    </r>
  </si>
  <si>
    <r>
      <rPr>
        <rFont val="Calibri, sans-serif"/>
        <color rgb="FF1155CC"/>
        <sz val="11.0"/>
        <u/>
      </rPr>
      <t>Integrate Cardano in Reown AppKit + WalletConnect update</t>
    </r>
  </si>
  <si>
    <r>
      <rPr>
        <rFont val="Calibri, sans-serif"/>
        <color rgb="FF1155CC"/>
        <sz val="11.0"/>
        <u/>
      </rPr>
      <t>Cardano Trading Advisor &amp; Onboarding GPTs</t>
    </r>
  </si>
  <si>
    <r>
      <rPr>
        <rFont val="Calibri, sans-serif"/>
        <color rgb="FF1155CC"/>
        <sz val="11.0"/>
        <u/>
      </rPr>
      <t>Cardano DevX Kit</t>
    </r>
  </si>
  <si>
    <r>
      <rPr>
        <rFont val="Calibri, sans-serif"/>
        <color rgb="FF1155CC"/>
        <sz val="11.0"/>
        <u/>
      </rPr>
      <t>Sky Protocol - Implement a Multisig protocol</t>
    </r>
  </si>
  <si>
    <r>
      <rPr>
        <rFont val="Calibri, sans-serif"/>
        <color rgb="FF1155CC"/>
        <sz val="11.0"/>
        <u/>
      </rPr>
      <t>FrenPay - Cardano Native Payment Gateway</t>
    </r>
  </si>
  <si>
    <r>
      <rPr>
        <rFont val="Calibri, sans-serif"/>
        <color rgb="FF1155CC"/>
        <sz val="11.0"/>
        <u/>
      </rPr>
      <t>GameChanger: On-Chain File Storage on Cardano (GCFS)</t>
    </r>
  </si>
  <si>
    <r>
      <rPr>
        <rFont val="Calibri, sans-serif"/>
        <color rgb="FF1155CC"/>
        <sz val="11.0"/>
        <u/>
      </rPr>
      <t>CAF: Open-source Agent toolkit tailored for Cardano</t>
    </r>
  </si>
  <si>
    <r>
      <rPr>
        <rFont val="Calibri, sans-serif"/>
        <color rgb="FF1155CC"/>
        <sz val="11.0"/>
        <u/>
      </rPr>
      <t>Speedrun Aiken - A Developer Onboarding Platform for Cardano</t>
    </r>
  </si>
  <si>
    <r>
      <rPr>
        <rFont val="Calibri, sans-serif"/>
        <color rgb="FF1155CC"/>
        <sz val="11.0"/>
        <u/>
      </rPr>
      <t>Cardano Wallet Connect Component for Angular</t>
    </r>
  </si>
  <si>
    <r>
      <rPr>
        <rFont val="Calibri, sans-serif"/>
        <color rgb="FF1155CC"/>
        <sz val="11.0"/>
        <u/>
      </rPr>
      <t>Cardano AI Agent Bridge</t>
    </r>
  </si>
  <si>
    <r>
      <rPr>
        <rFont val="Calibri, sans-serif"/>
        <color rgb="FF1155CC"/>
        <sz val="11.0"/>
        <u/>
      </rPr>
      <t>TrustTx AI SDK: Simplify Cardano Tx Signing To Avoid Scams</t>
    </r>
  </si>
  <si>
    <r>
      <rPr>
        <rFont val="Calibri, sans-serif"/>
        <color rgb="FF1155CC"/>
        <sz val="11.0"/>
        <u/>
      </rPr>
      <t>AI Tools for Aiken Smart Contract Generation &amp; Analysis</t>
    </r>
  </si>
  <si>
    <r>
      <rPr>
        <rFont val="Calibri, sans-serif"/>
        <color rgb="FF1155CC"/>
        <sz val="11.0"/>
        <u/>
      </rPr>
      <t>Permanent trustless public good archive of Cardano data</t>
    </r>
  </si>
  <si>
    <r>
      <rPr>
        <rFont val="Calibri, sans-serif"/>
        <color rgb="FF1155CC"/>
        <sz val="11.0"/>
        <u/>
      </rPr>
      <t>PROTOFIRE - Developer Studio v2</t>
    </r>
  </si>
  <si>
    <r>
      <rPr>
        <rFont val="Calibri, sans-serif"/>
        <color rgb="FF1155CC"/>
        <sz val="11.0"/>
        <u/>
      </rPr>
      <t>MCP for AI Cardano Explorer Assistants - Eryx</t>
    </r>
  </si>
  <si>
    <r>
      <rPr>
        <rFont val="Calibri, sans-serif"/>
        <color rgb="FF1155CC"/>
        <sz val="11.0"/>
        <u/>
      </rPr>
      <t>Cardlings: CLI Based Excercises To Master Cardano</t>
    </r>
  </si>
  <si>
    <r>
      <rPr>
        <rFont val="Calibri, sans-serif"/>
        <color rgb="FF1155CC"/>
        <sz val="11.0"/>
        <u/>
      </rPr>
      <t>Project Insight: Assessing Trust in Cardano Projects</t>
    </r>
  </si>
  <si>
    <r>
      <rPr>
        <rFont val="Calibri, sans-serif"/>
        <color rgb="FF1155CC"/>
        <sz val="11.0"/>
        <u/>
      </rPr>
      <t>Cardano Explorer MCP(Model Context Protocol) Server</t>
    </r>
  </si>
  <si>
    <r>
      <rPr>
        <rFont val="Calibri, sans-serif"/>
        <color rgb="FF1155CC"/>
        <sz val="11.0"/>
        <u/>
      </rPr>
      <t>Cardano Social Graph SDK</t>
    </r>
  </si>
  <si>
    <r>
      <rPr>
        <rFont val="Calibri, sans-serif"/>
        <color rgb="FF1155CC"/>
        <sz val="11.0"/>
        <u/>
      </rPr>
      <t>Sutra: Elixir SDK for Cardano</t>
    </r>
  </si>
  <si>
    <r>
      <rPr>
        <rFont val="Calibri, sans-serif"/>
        <color rgb="FF1155CC"/>
        <sz val="11.0"/>
        <u/>
      </rPr>
      <t>Privacy-Aware DAO Voting &amp; Treasury Management</t>
    </r>
  </si>
  <si>
    <r>
      <rPr>
        <rFont val="Calibri, sans-serif"/>
        <color rgb="FF1155CC"/>
        <sz val="11.0"/>
        <u/>
      </rPr>
      <t>Rate My Proposal AI Tool</t>
    </r>
  </si>
  <si>
    <r>
      <rPr>
        <rFont val="Calibri, sans-serif"/>
        <color rgb="FF1155CC"/>
        <sz val="11.0"/>
        <u/>
      </rPr>
      <t>Cardano Twitch Integration Suite</t>
    </r>
  </si>
  <si>
    <r>
      <rPr>
        <rFont val="Calibri, sans-serif"/>
        <color rgb="FF1155CC"/>
        <sz val="11.0"/>
        <u/>
      </rPr>
      <t>Sutra : Plutus blueprint Integration &amp; Testing framework</t>
    </r>
  </si>
  <si>
    <r>
      <rPr>
        <rFont val="Calibri, sans-serif"/>
        <color rgb="FF1155CC"/>
        <sz val="11.0"/>
        <u/>
      </rPr>
      <t>AdaQuarium</t>
    </r>
  </si>
  <si>
    <r>
      <rPr>
        <rFont val="Calibri, sans-serif"/>
        <color rgb="FF1155CC"/>
        <sz val="11.0"/>
        <u/>
      </rPr>
      <t>Crowdsourcing AI-Powered Transaction Tagging on Cardano</t>
    </r>
  </si>
  <si>
    <r>
      <rPr>
        <rFont val="Calibri, sans-serif"/>
        <color rgb="FF1155CC"/>
        <sz val="11.0"/>
        <u/>
      </rPr>
      <t>Exura Transaction Intelligence API + GameChanger Integration</t>
    </r>
  </si>
  <si>
    <r>
      <rPr>
        <rFont val="Calibri, sans-serif"/>
        <color rgb="FF1155CC"/>
        <sz val="11.0"/>
        <u/>
      </rPr>
      <t>Agentic DApp Testing SDK by Dquadrant</t>
    </r>
  </si>
  <si>
    <r>
      <rPr>
        <rFont val="Calibri, sans-serif"/>
        <color rgb="FF1155CC"/>
        <sz val="11.0"/>
        <u/>
      </rPr>
      <t>DCOne Swap Aggregator</t>
    </r>
  </si>
  <si>
    <r>
      <rPr>
        <rFont val="Calibri, sans-serif"/>
        <color rgb="FF1155CC"/>
        <sz val="11.0"/>
        <u/>
      </rPr>
      <t>Verifair - Trustless Gaming Apps</t>
    </r>
  </si>
  <si>
    <r>
      <rPr>
        <rFont val="Calibri, sans-serif"/>
        <color rgb="FF1155CC"/>
        <sz val="11.0"/>
        <u/>
      </rPr>
      <t>Plutus Debugger Extension for VSCode</t>
    </r>
  </si>
  <si>
    <r>
      <rPr>
        <rFont val="Calibri, sans-serif"/>
        <color rgb="FF1155CC"/>
        <sz val="11.0"/>
        <u/>
      </rPr>
      <t>AI Insights: Blockchain Based AI Analytics Platform</t>
    </r>
  </si>
  <si>
    <r>
      <rPr>
        <rFont val="Calibri, sans-serif"/>
        <color rgb="FF1155CC"/>
        <sz val="11.0"/>
        <u/>
      </rPr>
      <t>24/7 Developer Code Support Chatbot</t>
    </r>
  </si>
  <si>
    <r>
      <rPr>
        <rFont val="Calibri, sans-serif"/>
        <color rgb="FF1155CC"/>
        <sz val="11.0"/>
        <u/>
      </rPr>
      <t>Lucem V2: Enhanced Features, Simplicity, and Stability</t>
    </r>
  </si>
  <si>
    <r>
      <rPr>
        <rFont val="Calibri, sans-serif"/>
        <color rgb="FF1155CC"/>
        <sz val="11.0"/>
        <u/>
      </rPr>
      <t>5 Templates Combining AI and Blockchain on Cardano</t>
    </r>
  </si>
  <si>
    <r>
      <rPr>
        <rFont val="Calibri, sans-serif"/>
        <color rgb="FF1155CC"/>
        <sz val="11.0"/>
        <u/>
      </rPr>
      <t>Fair Mineable Smart Contract Tokens</t>
    </r>
  </si>
  <si>
    <r>
      <rPr>
        <rFont val="Calibri, sans-serif"/>
        <color rgb="FF1155CC"/>
        <sz val="11.0"/>
        <u/>
      </rPr>
      <t>Alertify - Push Notifications for SPO's Traders and Projects</t>
    </r>
  </si>
  <si>
    <r>
      <rPr>
        <rFont val="Calibri, sans-serif"/>
        <color rgb="FF1155CC"/>
        <sz val="11.0"/>
        <u/>
      </rPr>
      <t>TrustPilot for DReps: On-Chain Rating &amp; Reviews Framework</t>
    </r>
  </si>
  <si>
    <r>
      <rPr>
        <rFont val="Calibri, sans-serif"/>
        <color rgb="FF1155CC"/>
        <sz val="11.0"/>
        <u/>
      </rPr>
      <t>Open Sourcing Reafino SmartStarter Smart Contracts</t>
    </r>
  </si>
  <si>
    <r>
      <rPr>
        <rFont val="Calibri, sans-serif"/>
        <color rgb="FF1155CC"/>
        <sz val="11.0"/>
        <u/>
      </rPr>
      <t>Open Regulation MCP Server for Cardano</t>
    </r>
  </si>
  <si>
    <r>
      <rPr>
        <rFont val="Calibri, sans-serif"/>
        <color rgb="FF1155CC"/>
        <sz val="11.0"/>
        <u/>
      </rPr>
      <t>DevOps Assistant for SPOs Autonomous Stake Pool Ops</t>
    </r>
  </si>
  <si>
    <r>
      <rPr>
        <rFont val="Calibri, sans-serif"/>
        <color rgb="FF1155CC"/>
        <sz val="11.0"/>
        <u/>
      </rPr>
      <t>Cardano Explorer SDK for Developers</t>
    </r>
  </si>
  <si>
    <r>
      <rPr>
        <rFont val="Calibri, sans-serif"/>
        <color rgb="FF1155CC"/>
        <sz val="11.0"/>
        <u/>
      </rPr>
      <t>AI-Enhanced Smart Contract Workshop</t>
    </r>
  </si>
  <si>
    <r>
      <rPr>
        <rFont val="Calibri, sans-serif"/>
        <color rgb="FF1155CC"/>
        <sz val="11.0"/>
        <u/>
      </rPr>
      <t>Opshin VSCode Extension</t>
    </r>
  </si>
  <si>
    <r>
      <rPr>
        <rFont val="Calibri, sans-serif"/>
        <color rgb="FF1155CC"/>
        <sz val="11.0"/>
        <u/>
      </rPr>
      <t>Token Engineering: Modelling &amp; Simulating Economic Systems</t>
    </r>
  </si>
  <si>
    <r>
      <rPr>
        <rFont val="Calibri, sans-serif"/>
        <color rgb="FF1155CC"/>
        <sz val="11.0"/>
        <u/>
      </rPr>
      <t>Cardano Data Sync for AI Developers</t>
    </r>
  </si>
  <si>
    <r>
      <rPr>
        <rFont val="Calibri, sans-serif"/>
        <color rgb="FF1155CC"/>
        <sz val="11.0"/>
        <u/>
      </rPr>
      <t>Plutus Compiler and Playground For Vibe Coders</t>
    </r>
  </si>
  <si>
    <r>
      <rPr>
        <rFont val="Calibri, sans-serif"/>
        <color rgb="FF1155CC"/>
        <sz val="11.0"/>
        <u/>
      </rPr>
      <t>A Declarative Operations Framework for Cardano SPOs</t>
    </r>
  </si>
  <si>
    <r>
      <rPr>
        <rFont val="Calibri, sans-serif"/>
        <color rgb="FF1155CC"/>
        <sz val="11.0"/>
        <u/>
      </rPr>
      <t>DevCreds: Verifiable Developer Badges for Cardano</t>
    </r>
  </si>
  <si>
    <r>
      <rPr>
        <rFont val="Calibri, sans-serif"/>
        <color rgb="FF1155CC"/>
        <sz val="11.0"/>
        <u/>
      </rPr>
      <t>[Moderntensor] Decentralized Training Model Platform</t>
    </r>
  </si>
  <si>
    <r>
      <rPr>
        <rFont val="Calibri, sans-serif"/>
        <color rgb="FF1155CC"/>
        <sz val="11.0"/>
        <u/>
      </rPr>
      <t>Open Proposal Platform for Decentralised Organisations</t>
    </r>
  </si>
  <si>
    <r>
      <rPr>
        <rFont val="Calibri, sans-serif"/>
        <color rgb="FF1155CC"/>
        <sz val="11.0"/>
        <u/>
      </rPr>
      <t>AdaTalent</t>
    </r>
  </si>
  <si>
    <r>
      <rPr>
        <rFont val="Calibri, sans-serif"/>
        <color rgb="FF1155CC"/>
        <sz val="11.0"/>
        <u/>
      </rPr>
      <t>Opshin Playground - Online IDE for Opshin</t>
    </r>
  </si>
  <si>
    <r>
      <rPr>
        <rFont val="Calibri, sans-serif"/>
        <color rgb="FF1155CC"/>
        <sz val="11.0"/>
        <u/>
      </rPr>
      <t>ModelTrust: Decentralized AI Model Verification Framework</t>
    </r>
  </si>
  <si>
    <r>
      <rPr>
        <rFont val="Calibri, sans-serif"/>
        <color rgb="FF1155CC"/>
        <sz val="11.0"/>
        <u/>
      </rPr>
      <t>Cardano Data Indexer Hub</t>
    </r>
  </si>
  <si>
    <r>
      <rPr>
        <rFont val="Calibri, sans-serif"/>
        <color rgb="FF1155CC"/>
        <sz val="11.0"/>
        <u/>
      </rPr>
      <t>Opshin Jetbrains Extension</t>
    </r>
  </si>
  <si>
    <r>
      <rPr>
        <rFont val="Calibri, sans-serif"/>
        <color rgb="FF1155CC"/>
        <sz val="11.0"/>
        <u/>
      </rPr>
      <t>Lextra: Model Context Protocol Wallet Extension</t>
    </r>
  </si>
  <si>
    <r>
      <rPr>
        <rFont val="Calibri, sans-serif"/>
        <color rgb="FF1155CC"/>
        <sz val="11.0"/>
        <u/>
      </rPr>
      <t>Cardano*Africa Localization Kit</t>
    </r>
  </si>
  <si>
    <r>
      <rPr>
        <rFont val="Calibri, sans-serif"/>
        <color rgb="FF1155CC"/>
        <sz val="11.0"/>
        <u/>
      </rPr>
      <t>Cardano Mendix Plugin Final Release</t>
    </r>
  </si>
  <si>
    <r>
      <rPr>
        <rFont val="Calibri, sans-serif"/>
        <color rgb="FF1155CC"/>
        <sz val="11.0"/>
        <u/>
      </rPr>
      <t>Cardano Blockchain Import-Export FX Gateway for Ethiopia</t>
    </r>
  </si>
  <si>
    <r>
      <rPr>
        <rFont val="Calibri, sans-serif"/>
        <color rgb="FF1155CC"/>
        <sz val="11.0"/>
        <u/>
      </rPr>
      <t>Cardano Transaction Cost Estimator CLI</t>
    </r>
  </si>
  <si>
    <r>
      <rPr>
        <rFont val="Calibri, sans-serif"/>
        <color rgb="FF1155CC"/>
        <sz val="11.0"/>
        <u/>
      </rPr>
      <t>AnimDev Toolkit: Open-Source Animation for Cardano</t>
    </r>
  </si>
  <si>
    <r>
      <rPr>
        <rFont val="Calibri, sans-serif"/>
        <color rgb="FF1155CC"/>
        <sz val="11.0"/>
        <u/>
      </rPr>
      <t>SeedCoin: Tokenizing Radicle to Grow Cardano’s Dev Roots</t>
    </r>
  </si>
  <si>
    <r>
      <rPr>
        <rFont val="Calibri, sans-serif"/>
        <color rgb="FF1155CC"/>
        <sz val="11.0"/>
        <u/>
      </rPr>
      <t>Cardano at SusHiTech Tokyo: Japan's Premier Tech Summit</t>
    </r>
  </si>
  <si>
    <r>
      <rPr>
        <rFont val="Calibri, sans-serif"/>
        <color rgb="FF1155CC"/>
        <sz val="11.0"/>
        <u/>
      </rPr>
      <t>Discover Cardano with Ctrl Wallet – Short Video Series</t>
    </r>
  </si>
  <si>
    <r>
      <rPr>
        <rFont val="Calibri, sans-serif"/>
        <color rgb="FF1155CC"/>
        <sz val="11.0"/>
        <u/>
      </rPr>
      <t>CHARLI3 Oracles Hackathon</t>
    </r>
  </si>
  <si>
    <r>
      <rPr>
        <rFont val="Calibri, sans-serif"/>
        <color rgb="FF1155CC"/>
        <sz val="11.0"/>
        <u/>
      </rPr>
      <t>Gimbalabs ｜ VESPR - Cardano Onboarding Workshop Guideline</t>
    </r>
  </si>
  <si>
    <r>
      <rPr>
        <rFont val="Calibri, sans-serif"/>
        <color rgb="FF1155CC"/>
        <sz val="11.0"/>
        <u/>
      </rPr>
      <t>Empowering Real-World ADA Adoption with Ashiya Pool</t>
    </r>
  </si>
  <si>
    <r>
      <rPr>
        <rFont val="Calibri, sans-serif"/>
        <color rgb="FF1155CC"/>
        <sz val="11.0"/>
        <u/>
      </rPr>
      <t>SIDAN | Waffle - Hong Kong Cardano Community</t>
    </r>
  </si>
  <si>
    <r>
      <rPr>
        <rFont val="Calibri, sans-serif"/>
        <color rgb="FF1155CC"/>
        <sz val="11.0"/>
        <u/>
      </rPr>
      <t>Nucast: Music Video Festival 2026</t>
    </r>
  </si>
  <si>
    <r>
      <rPr>
        <rFont val="Calibri, sans-serif"/>
        <color rgb="FF1155CC"/>
        <sz val="11.0"/>
        <u/>
      </rPr>
      <t>by TxPipe - Cardano Buidler Fest Buenos Aires 2026</t>
    </r>
  </si>
  <si>
    <r>
      <rPr>
        <rFont val="Calibri, sans-serif"/>
        <color rgb="FF1155CC"/>
        <sz val="11.0"/>
        <u/>
      </rPr>
      <t>Cardano University Tour Argentina</t>
    </r>
  </si>
  <si>
    <r>
      <rPr>
        <rFont val="Calibri, sans-serif"/>
        <color rgb="FF1155CC"/>
        <sz val="11.0"/>
        <u/>
      </rPr>
      <t>Community CIP Editor Robert Phair: 6 month budget</t>
    </r>
  </si>
  <si>
    <r>
      <rPr>
        <rFont val="Calibri, sans-serif"/>
        <color rgb="FF1155CC"/>
        <sz val="11.0"/>
        <u/>
      </rPr>
      <t>Cardano Japan Hub Restart カルダノ・ジャパン・ハブ再起動</t>
    </r>
  </si>
  <si>
    <r>
      <rPr>
        <rFont val="Calibri, sans-serif"/>
        <color rgb="FF1155CC"/>
        <sz val="11.0"/>
        <u/>
      </rPr>
      <t>An all-in-one platform for the Korean Cardano community</t>
    </r>
  </si>
  <si>
    <r>
      <rPr>
        <rFont val="Calibri, sans-serif"/>
        <color rgb="FF1155CC"/>
        <sz val="11.0"/>
        <u/>
      </rPr>
      <t>IndiaCodeX ’26: India’s Largest Cardano Hackathon</t>
    </r>
  </si>
  <si>
    <r>
      <rPr>
        <rFont val="Calibri, sans-serif"/>
        <color rgb="FF1155CC"/>
        <sz val="11.0"/>
        <u/>
      </rPr>
      <t>SickCity: Artist onboarding Drive</t>
    </r>
  </si>
  <si>
    <r>
      <rPr>
        <rFont val="Calibri, sans-serif"/>
        <color rgb="FF1155CC"/>
        <sz val="11.0"/>
        <u/>
      </rPr>
      <t>[C2VN]: Hydra on Cardano – Complete Step-by-Step DApp Guide</t>
    </r>
  </si>
  <si>
    <r>
      <rPr>
        <rFont val="Calibri, sans-serif"/>
        <color rgb="FF1155CC"/>
        <sz val="11.0"/>
        <u/>
      </rPr>
      <t>Cardano Vietnam – National Blockchain Outreach 2026</t>
    </r>
  </si>
  <si>
    <r>
      <rPr>
        <rFont val="Calibri, sans-serif"/>
        <color rgb="FF1155CC"/>
        <sz val="11.0"/>
        <u/>
      </rPr>
      <t>University Forum in Argentina - Powered by Cardano</t>
    </r>
  </si>
  <si>
    <r>
      <rPr>
        <rFont val="Calibri, sans-serif"/>
        <color rgb="FF1155CC"/>
        <sz val="11.0"/>
        <u/>
      </rPr>
      <t>Amplify Cardano: Community-Led Marketing by Rare Network</t>
    </r>
  </si>
  <si>
    <r>
      <rPr>
        <rFont val="Calibri, sans-serif"/>
        <color rgb="FF1155CC"/>
        <sz val="11.0"/>
        <u/>
      </rPr>
      <t>Smart Content + Grassroots growth for a Stronger Cardano</t>
    </r>
  </si>
  <si>
    <r>
      <rPr>
        <rFont val="Calibri, sans-serif"/>
        <color rgb="FF1155CC"/>
        <sz val="11.0"/>
        <u/>
      </rPr>
      <t>Cardano Vietnam Monthly Meetups 2026</t>
    </r>
  </si>
  <si>
    <r>
      <rPr>
        <rFont val="Calibri, sans-serif"/>
        <color rgb="FF1155CC"/>
        <sz val="11.0"/>
        <u/>
      </rPr>
      <t>Cardano Hub NBO - Grassroot Community Building by LidoNation</t>
    </r>
  </si>
  <si>
    <r>
      <rPr>
        <rFont val="Calibri, sans-serif"/>
        <color rgb="FF1155CC"/>
        <sz val="11.0"/>
        <u/>
      </rPr>
      <t>Vietnamese Aiken Onboarding Resource for Developers</t>
    </r>
  </si>
  <si>
    <r>
      <rPr>
        <rFont val="Calibri, sans-serif"/>
        <color rgb="FF1155CC"/>
        <sz val="11.0"/>
        <u/>
      </rPr>
      <t>SEA Hackathon: Shaping Southest Asia's Next Cardano Builders</t>
    </r>
  </si>
  <si>
    <r>
      <rPr>
        <rFont val="Calibri, sans-serif"/>
        <color rgb="FF1155CC"/>
        <sz val="11.0"/>
        <u/>
      </rPr>
      <t>Sustain and Maintain Gimbalabs</t>
    </r>
  </si>
  <si>
    <r>
      <rPr>
        <rFont val="Calibri, sans-serif"/>
        <color rgb="FF1155CC"/>
        <sz val="11.0"/>
        <u/>
      </rPr>
      <t>Catalyst Funded Cardano Startup Booths at Rare Evo 2026</t>
    </r>
  </si>
  <si>
    <r>
      <rPr>
        <rFont val="Calibri, sans-serif"/>
        <color rgb="FF1155CC"/>
        <sz val="11.0"/>
        <u/>
      </rPr>
      <t>Amplify Cardano: Community-Led Events by Rare Network</t>
    </r>
  </si>
  <si>
    <r>
      <rPr>
        <rFont val="Calibri, sans-serif"/>
        <color rgb="FF1155CC"/>
        <sz val="11.0"/>
        <u/>
      </rPr>
      <t>Vietnam Unitour: Cardano Growth in Uni &amp; Student Onboarding</t>
    </r>
  </si>
  <si>
    <r>
      <rPr>
        <rFont val="Calibri, sans-serif"/>
        <color rgb="FF1155CC"/>
        <sz val="11.0"/>
        <u/>
      </rPr>
      <t>Prisma Argentina Action-Learning Journey</t>
    </r>
  </si>
  <si>
    <r>
      <rPr>
        <rFont val="Calibri, sans-serif"/>
        <color rgb="FF1155CC"/>
        <sz val="11.0"/>
        <u/>
      </rPr>
      <t>[Aladin]: Building a Freelancer Community for Cardano</t>
    </r>
  </si>
  <si>
    <r>
      <rPr>
        <rFont val="Calibri, sans-serif"/>
        <color rgb="FF1155CC"/>
        <sz val="11.0"/>
        <u/>
      </rPr>
      <t>Vietnam University Cardano Workshop &amp; Onboarding Series</t>
    </r>
  </si>
  <si>
    <r>
      <rPr>
        <rFont val="Calibri, sans-serif"/>
        <color rgb="FF1155CC"/>
        <sz val="11.0"/>
        <u/>
      </rPr>
      <t>ZK from zero on Cardano [ebook] by elRaulito</t>
    </r>
  </si>
  <si>
    <r>
      <rPr>
        <rFont val="Calibri, sans-serif"/>
        <color rgb="FF1155CC"/>
        <sz val="11.0"/>
        <u/>
      </rPr>
      <t>eUTxO Fundamentals: Plutarch and more [eBook] by elRaulito</t>
    </r>
  </si>
  <si>
    <r>
      <rPr>
        <rFont val="Calibri, sans-serif"/>
        <color rgb="FF1155CC"/>
        <sz val="11.0"/>
        <u/>
      </rPr>
      <t>Bright Future @ Ethio Japan High School | エチオジャパンハイスクールで輝く未来</t>
    </r>
  </si>
  <si>
    <r>
      <rPr>
        <rFont val="Calibri, sans-serif"/>
        <color rgb="FF1155CC"/>
        <sz val="11.0"/>
        <u/>
      </rPr>
      <t>PyCardano: The Ultimate Course for Python and AI Developers</t>
    </r>
  </si>
  <si>
    <r>
      <rPr>
        <rFont val="Calibri, sans-serif"/>
        <color rgb="FF1155CC"/>
        <sz val="11.0"/>
        <u/>
      </rPr>
      <t>1000 Developers Trained: Growing Cardano in Kenya &amp; Nigeria</t>
    </r>
  </si>
  <si>
    <r>
      <rPr>
        <rFont val="Calibri, sans-serif"/>
        <color rgb="FF1155CC"/>
        <sz val="11.0"/>
        <u/>
      </rPr>
      <t>Defense &amp; Aerospace Blockchain Security Initiative</t>
    </r>
  </si>
  <si>
    <r>
      <rPr>
        <rFont val="Calibri, sans-serif"/>
        <color rgb="FF1155CC"/>
        <sz val="11.0"/>
        <u/>
      </rPr>
      <t>Ouroboros Leios Online Training</t>
    </r>
  </si>
  <si>
    <r>
      <rPr>
        <rFont val="Calibri, sans-serif"/>
        <color rgb="FF1155CC"/>
        <sz val="11.0"/>
        <u/>
      </rPr>
      <t>Cardano Automotive Initiative: Blockchain Mobility Solutions</t>
    </r>
  </si>
  <si>
    <r>
      <rPr>
        <rFont val="Calibri, sans-serif"/>
        <color rgb="FF1155CC"/>
        <sz val="11.0"/>
        <u/>
      </rPr>
      <t>[FIMI] Blockchain Course for Vietnamese</t>
    </r>
  </si>
  <si>
    <r>
      <rPr>
        <rFont val="Calibri, sans-serif"/>
        <color rgb="FF1155CC"/>
        <sz val="11.0"/>
        <u/>
      </rPr>
      <t>Catalyst Review Made Trustworthy with Andamio Protocol</t>
    </r>
  </si>
  <si>
    <r>
      <rPr>
        <rFont val="Calibri, sans-serif"/>
        <color rgb="FF1155CC"/>
        <sz val="11.0"/>
        <u/>
      </rPr>
      <t>[C2VN]: Lucid video course for the community's Developers</t>
    </r>
  </si>
  <si>
    <r>
      <rPr>
        <rFont val="Calibri, sans-serif"/>
        <color rgb="FF1155CC"/>
        <sz val="11.0"/>
        <u/>
      </rPr>
      <t>[C2VN]: Opshin video course for the community's Developers</t>
    </r>
  </si>
  <si>
    <r>
      <rPr>
        <rFont val="Calibri, sans-serif"/>
        <color rgb="FF1155CC"/>
        <sz val="11.0"/>
        <u/>
      </rPr>
      <t>[CaFi] Aiken Complete Guide: In-depth Cardano Programming</t>
    </r>
  </si>
  <si>
    <r>
      <rPr>
        <rFont val="Calibri, sans-serif"/>
        <color rgb="FF1155CC"/>
        <sz val="11.0"/>
        <u/>
      </rPr>
      <t>Organising events that keep Cardano in the news in Japan 2</t>
    </r>
  </si>
  <si>
    <r>
      <rPr>
        <rFont val="Calibri, sans-serif"/>
        <color rgb="FF1155CC"/>
        <sz val="11.0"/>
        <u/>
      </rPr>
      <t>Online Cardano Training</t>
    </r>
  </si>
  <si>
    <r>
      <rPr>
        <rFont val="Calibri, sans-serif"/>
        <color rgb="FF1155CC"/>
        <sz val="11.0"/>
        <u/>
      </rPr>
      <t>Project Catalyst dRep Analysis Framework</t>
    </r>
  </si>
  <si>
    <r>
      <rPr>
        <rFont val="Calibri, sans-serif"/>
        <color rgb="FF1155CC"/>
        <sz val="11.0"/>
        <u/>
      </rPr>
      <t>JAPANGO: DID/SBT passport to reach 36M+ visitors to japan</t>
    </r>
  </si>
  <si>
    <r>
      <rPr>
        <rFont val="Calibri, sans-serif"/>
        <color rgb="FF1155CC"/>
        <sz val="11.0"/>
        <u/>
      </rPr>
      <t>I can Aiken - translation to Russian</t>
    </r>
  </si>
  <si>
    <r>
      <rPr>
        <rFont val="Calibri, sans-serif"/>
        <color rgb="FF1155CC"/>
        <sz val="11.0"/>
        <u/>
      </rPr>
      <t>Cardano Hub at Irish University</t>
    </r>
  </si>
  <si>
    <r>
      <rPr>
        <rFont val="Calibri, sans-serif"/>
        <color rgb="FF1155CC"/>
        <sz val="11.0"/>
        <u/>
      </rPr>
      <t>[FIMI] Cardano Talk for Vietnamese</t>
    </r>
  </si>
  <si>
    <r>
      <rPr>
        <rFont val="Calibri, sans-serif"/>
        <color rgb="FF1155CC"/>
        <sz val="11.0"/>
        <u/>
      </rPr>
      <t>Cardano DeFi Made Simple: Open Video Series &amp; Learning Hub</t>
    </r>
  </si>
  <si>
    <r>
      <rPr>
        <rFont val="Calibri, sans-serif"/>
        <color rgb="FF1155CC"/>
        <sz val="11.0"/>
        <u/>
      </rPr>
      <t>DRep Online Training</t>
    </r>
  </si>
  <si>
    <r>
      <rPr>
        <rFont val="Calibri, sans-serif"/>
        <color rgb="FF1155CC"/>
        <sz val="11.0"/>
        <u/>
      </rPr>
      <t>Enterprise Support for Cardano Adoption - STORM Partners</t>
    </r>
  </si>
  <si>
    <r>
      <rPr>
        <rFont val="Calibri, sans-serif"/>
        <color rgb="FF1155CC"/>
        <sz val="11.0"/>
        <u/>
      </rPr>
      <t>[C2VN]: Cardano Blockchain Online Programming Course</t>
    </r>
  </si>
  <si>
    <r>
      <rPr>
        <rFont val="Calibri, sans-serif"/>
        <color rgb="FF1155CC"/>
        <sz val="11.0"/>
        <u/>
      </rPr>
      <t>Electronics &amp; Sensors Blockchain Integration Program</t>
    </r>
  </si>
  <si>
    <r>
      <rPr>
        <rFont val="Calibri, sans-serif"/>
        <color rgb="FF1155CC"/>
        <sz val="11.0"/>
        <u/>
      </rPr>
      <t>Cardano Railway Initiative: Blockchain Railway Solution</t>
    </r>
  </si>
  <si>
    <r>
      <rPr>
        <rFont val="Calibri, sans-serif"/>
        <color rgb="FF1155CC"/>
        <sz val="11.0"/>
        <u/>
      </rPr>
      <t>Gimbalabs - Regional Cardano Student Society Playbook</t>
    </r>
  </si>
  <si>
    <r>
      <rPr>
        <rFont val="Calibri, sans-serif"/>
        <color rgb="FF1155CC"/>
        <sz val="11.0"/>
        <u/>
      </rPr>
      <t>Bitcoin DeFi Education for Cardano on Andamio Platform</t>
    </r>
  </si>
  <si>
    <r>
      <rPr>
        <rFont val="Calibri, sans-serif"/>
        <color rgb="FF1155CC"/>
        <sz val="11.0"/>
        <u/>
      </rPr>
      <t>ALBA Network: Cardano's Bridge to LATAM Academia</t>
    </r>
  </si>
  <si>
    <r>
      <rPr>
        <rFont val="Calibri, sans-serif"/>
        <color rgb="FF1155CC"/>
        <sz val="11.0"/>
        <u/>
      </rPr>
      <t>[CaFiNet] Cardano &amp; Midnight The Privacy Revolution</t>
    </r>
  </si>
  <si>
    <r>
      <rPr>
        <rFont val="Calibri, sans-serif"/>
        <color rgb="FF1155CC"/>
        <sz val="11.0"/>
        <u/>
      </rPr>
      <t>From Beginner to Pro: Cardano Developer 101 &amp; 201 Series</t>
    </r>
  </si>
  <si>
    <r>
      <rPr>
        <rFont val="Calibri, sans-serif"/>
        <color rgb="FF1155CC"/>
        <sz val="11.0"/>
        <u/>
      </rPr>
      <t>Free Tier for Small SPOs - Fully Managed SPO Service</t>
    </r>
  </si>
  <si>
    <r>
      <rPr>
        <rFont val="Calibri, sans-serif"/>
        <color rgb="FF1155CC"/>
        <sz val="11.0"/>
        <u/>
      </rPr>
      <t>ZK Bootcamp for Cardano by Eryx</t>
    </r>
  </si>
  <si>
    <r>
      <rPr>
        <rFont val="Calibri, sans-serif"/>
        <color rgb="FF1155CC"/>
        <sz val="11.0"/>
        <u/>
      </rPr>
      <t>Cardano Educational Hub at Hawassa University</t>
    </r>
  </si>
  <si>
    <r>
      <rPr>
        <rFont val="Calibri, sans-serif"/>
        <color rgb="FF1155CC"/>
        <sz val="11.0"/>
        <u/>
      </rPr>
      <t>[FIMI] Podcast Cardano on Telegram for Vietnamese</t>
    </r>
  </si>
  <si>
    <r>
      <rPr>
        <rFont val="Calibri, sans-serif"/>
        <color rgb="FF1155CC"/>
        <sz val="11.0"/>
        <u/>
      </rPr>
      <t>dRep Voting Power Saturation Research</t>
    </r>
  </si>
  <si>
    <r>
      <rPr>
        <rFont val="Calibri, sans-serif"/>
        <color rgb="FF1155CC"/>
        <sz val="11.0"/>
        <u/>
      </rPr>
      <t>Sustainability Blockchain Initiative: Cardano for ESG</t>
    </r>
  </si>
  <si>
    <r>
      <rPr>
        <rFont val="Calibri, sans-serif"/>
        <color rgb="FF1155CC"/>
        <sz val="11.0"/>
        <u/>
      </rPr>
      <t>All-In-One Haskell Learning Platform</t>
    </r>
  </si>
  <si>
    <r>
      <rPr>
        <rFont val="Calibri, sans-serif"/>
        <color rgb="FF1155CC"/>
        <sz val="11.0"/>
        <u/>
      </rPr>
      <t>I Can Plutus: Beginner-to-Pro Smart Contract Education</t>
    </r>
  </si>
  <si>
    <r>
      <rPr>
        <rFont val="Calibri, sans-serif"/>
        <color rgb="FF1155CC"/>
        <sz val="11.0"/>
        <u/>
      </rPr>
      <t>[FIMI] Bring Cardano Videos to Vietnamese</t>
    </r>
  </si>
  <si>
    <r>
      <rPr>
        <rFont val="Calibri, sans-serif"/>
        <color rgb="FF1155CC"/>
        <sz val="11.0"/>
        <u/>
      </rPr>
      <t>GreenStore EDU: Sustainabe Digital Storage for Institutions</t>
    </r>
  </si>
  <si>
    <r>
      <rPr>
        <rFont val="Calibri, sans-serif"/>
        <color rgb="FF1155CC"/>
        <sz val="11.0"/>
        <u/>
      </rPr>
      <t>Global Cardano Community IRL Event for Education &amp; Adoption</t>
    </r>
  </si>
  <si>
    <r>
      <rPr>
        <rFont val="Calibri, sans-serif"/>
        <color rgb="FF1155CC"/>
        <sz val="11.0"/>
        <u/>
      </rPr>
      <t>ALBA: Cardano U-Labs Chile–Mexico Pilot for Node Ops &amp; DApps</t>
    </r>
  </si>
  <si>
    <r>
      <rPr>
        <rFont val="Calibri, sans-serif"/>
        <color rgb="FF1155CC"/>
        <sz val="11.0"/>
        <u/>
      </rPr>
      <t>Project Catalyst Mentorship Bureau</t>
    </r>
  </si>
  <si>
    <r>
      <rPr>
        <rFont val="Calibri, sans-serif"/>
        <color rgb="FF1155CC"/>
        <sz val="11.0"/>
        <u/>
      </rPr>
      <t>[CaFi] Peer-Reviewed Research Paper Library in Vietnamese</t>
    </r>
  </si>
  <si>
    <r>
      <rPr>
        <rFont val="Calibri, sans-serif"/>
        <color rgb="FF1155CC"/>
        <sz val="11.0"/>
        <u/>
      </rPr>
      <t>Cardano For the M₳sses - translation into Russian</t>
    </r>
  </si>
  <si>
    <r>
      <rPr>
        <rFont val="Calibri, sans-serif"/>
        <color rgb="FF1155CC"/>
        <sz val="11.0"/>
        <u/>
      </rPr>
      <t>Cardano Real-World Impact: India Blockchain Week Side Event</t>
    </r>
  </si>
  <si>
    <r>
      <rPr>
        <rFont val="Calibri, sans-serif"/>
        <color rgb="FF1155CC"/>
        <sz val="11.0"/>
        <u/>
      </rPr>
      <t>The Bitcoin Family x OLi: Bridging Bitcoin to Cardano</t>
    </r>
  </si>
  <si>
    <r>
      <rPr>
        <rFont val="Calibri, sans-serif"/>
        <color rgb="FF1155CC"/>
        <sz val="11.0"/>
        <u/>
      </rPr>
      <t>Catalyst Bootcamps 4 inclusion</t>
    </r>
  </si>
  <si>
    <r>
      <rPr>
        <rFont val="Calibri, sans-serif"/>
        <color rgb="FF1155CC"/>
        <sz val="11.0"/>
        <u/>
      </rPr>
      <t>Cardano Connect Dubai: Mastering &amp; Community Growth</t>
    </r>
  </si>
  <si>
    <r>
      <rPr>
        <rFont val="Calibri, sans-serif"/>
        <color rgb="FF1155CC"/>
        <sz val="11.0"/>
        <u/>
      </rPr>
      <t>GINI (German Industry Innovation) Event Series</t>
    </r>
  </si>
  <si>
    <r>
      <rPr>
        <rFont val="Calibri, sans-serif"/>
        <color rgb="FF1155CC"/>
        <sz val="11.0"/>
        <u/>
      </rPr>
      <t>Cardano.Build v2 Upgrade, including GenAI Integration</t>
    </r>
  </si>
  <si>
    <r>
      <rPr>
        <rFont val="Calibri, sans-serif"/>
        <color rgb="FF1155CC"/>
        <sz val="11.0"/>
        <u/>
      </rPr>
      <t>SanchoNet Education Network Governance Resources</t>
    </r>
  </si>
  <si>
    <r>
      <rPr>
        <rFont val="Calibri, sans-serif"/>
        <color rgb="FF1155CC"/>
        <sz val="11.0"/>
        <u/>
      </rPr>
      <t>Cexplorer: Cardano Project Mentorship &amp; Accelerator</t>
    </r>
  </si>
  <si>
    <r>
      <rPr>
        <rFont val="Calibri, sans-serif"/>
        <color rgb="FF1155CC"/>
        <sz val="11.0"/>
        <u/>
      </rPr>
      <t>Crypto Confidence – A Motivational Series in Amharic</t>
    </r>
  </si>
  <si>
    <r>
      <rPr>
        <rFont val="Calibri, sans-serif"/>
        <color rgb="FF1155CC"/>
        <sz val="11.0"/>
        <u/>
      </rPr>
      <t>Blockchain4Good Summit: gateway to UN/NGOs for Cardano dApps</t>
    </r>
  </si>
  <si>
    <r>
      <rPr>
        <rFont val="Calibri, sans-serif"/>
        <color rgb="FF1155CC"/>
        <sz val="11.0"/>
        <u/>
      </rPr>
      <t>Learn and Build High-Speed GameFi with Hydra</t>
    </r>
  </si>
  <si>
    <r>
      <rPr>
        <rFont val="Calibri, sans-serif"/>
        <color rgb="FF1155CC"/>
        <sz val="11.0"/>
        <u/>
      </rPr>
      <t>Catalyst Start-up Incubation</t>
    </r>
  </si>
  <si>
    <r>
      <rPr>
        <rFont val="Calibri, sans-serif"/>
        <color rgb="FF1155CC"/>
        <sz val="11.0"/>
        <u/>
      </rPr>
      <t>Cardano Medical Initiative: Blockchain Healthcare Solutions</t>
    </r>
  </si>
  <si>
    <r>
      <rPr>
        <rFont val="Calibri, sans-serif"/>
        <color rgb="FF1155CC"/>
        <sz val="11.0"/>
        <u/>
      </rPr>
      <t>Taking Cardano to Amazon Music &amp; Google Podcast Platforms</t>
    </r>
  </si>
  <si>
    <r>
      <rPr>
        <rFont val="Calibri, sans-serif"/>
        <color rgb="FF1155CC"/>
        <sz val="11.0"/>
        <u/>
      </rPr>
      <t>[5PC] Hoskinson's Cardano Journey: Educating the Community</t>
    </r>
  </si>
  <si>
    <r>
      <rPr>
        <rFont val="Calibri, sans-serif"/>
        <color rgb="FF1155CC"/>
        <sz val="11.0"/>
        <u/>
      </rPr>
      <t>Research-Backed Viral Shorts to Bust Cardano Myths</t>
    </r>
  </si>
  <si>
    <r>
      <rPr>
        <rFont val="Calibri, sans-serif"/>
        <color rgb="FF1155CC"/>
        <sz val="11.0"/>
        <u/>
      </rPr>
      <t>Cardano India Developers Community Hub</t>
    </r>
  </si>
  <si>
    <r>
      <rPr>
        <rFont val="Calibri, sans-serif"/>
        <color rgb="FF1155CC"/>
        <sz val="11.0"/>
        <u/>
      </rPr>
      <t>Enterprise Events, BD &amp; Partnerships - STORM Partners</t>
    </r>
  </si>
  <si>
    <r>
      <rPr>
        <rFont val="Calibri, sans-serif"/>
        <color rgb="FF1155CC"/>
        <sz val="11.0"/>
        <u/>
      </rPr>
      <t>100% On-Chain Legally Binding Agreements and Smart Contracts</t>
    </r>
  </si>
  <si>
    <r>
      <rPr>
        <rFont val="Calibri, sans-serif"/>
        <color rgb="FF1155CC"/>
        <sz val="11.0"/>
        <u/>
      </rPr>
      <t>Funding the Commons: Driving RealFi + Catalyst Submissions</t>
    </r>
  </si>
  <si>
    <r>
      <rPr>
        <rFont val="Calibri, sans-serif"/>
        <color rgb="FF1155CC"/>
        <sz val="11.0"/>
        <u/>
      </rPr>
      <t>Cexplorer: Cardano Related High-quality Articles Incl. Share</t>
    </r>
  </si>
  <si>
    <r>
      <rPr>
        <rFont val="Calibri, sans-serif"/>
        <color rgb="FF1155CC"/>
        <sz val="11.0"/>
        <u/>
      </rPr>
      <t>First Tigrigna Cardano Hub: Learn, Build, Connect Worldwide</t>
    </r>
  </si>
  <si>
    <r>
      <rPr>
        <rFont val="Calibri, sans-serif"/>
        <color rgb="FF1155CC"/>
        <sz val="11.0"/>
        <u/>
      </rPr>
      <t>The Great African Run – Powered by Cardano Blockchain</t>
    </r>
  </si>
  <si>
    <r>
      <rPr>
        <rFont val="Calibri, sans-serif"/>
        <color rgb="FF1155CC"/>
        <sz val="11.0"/>
        <u/>
      </rPr>
      <t>GTM Acceleration for Cardano Builders - STORM Partners</t>
    </r>
  </si>
  <si>
    <r>
      <rPr>
        <rFont val="Calibri, sans-serif"/>
        <color rgb="FF1155CC"/>
        <sz val="11.0"/>
        <u/>
      </rPr>
      <t>Comprehensive Course on Cardano Node Infrastructure</t>
    </r>
  </si>
  <si>
    <r>
      <rPr>
        <rFont val="Calibri, sans-serif"/>
        <color rgb="FF1155CC"/>
        <sz val="11.0"/>
        <u/>
      </rPr>
      <t>AIKEN Smart Contract Developer Experience Workshop Series</t>
    </r>
  </si>
  <si>
    <r>
      <rPr>
        <rFont val="Calibri, sans-serif"/>
        <color rgb="FF1155CC"/>
        <sz val="11.0"/>
        <u/>
      </rPr>
      <t>Cardano QR Code Hunt: Gamified Learning</t>
    </r>
  </si>
  <si>
    <r>
      <rPr>
        <rFont val="Calibri, sans-serif"/>
        <color rgb="FF1155CC"/>
        <sz val="11.0"/>
        <u/>
      </rPr>
      <t>startup accelerator for Cardano-based projects</t>
    </r>
  </si>
  <si>
    <r>
      <rPr>
        <rFont val="Calibri, sans-serif"/>
        <color rgb="FF1155CC"/>
        <sz val="11.0"/>
        <u/>
      </rPr>
      <t>MCU Cardano DeFi Workshop 2026: Learning Liqwid Finance</t>
    </r>
  </si>
  <si>
    <r>
      <rPr>
        <rFont val="Calibri, sans-serif"/>
        <color rgb="FF1155CC"/>
        <sz val="11.0"/>
        <u/>
      </rPr>
      <t>Cardano Content Creators Agency - Bridging Gap with Projects</t>
    </r>
  </si>
  <si>
    <r>
      <rPr>
        <rFont val="Calibri, sans-serif"/>
        <color rgb="FF1155CC"/>
        <sz val="11.0"/>
        <u/>
      </rPr>
      <t>Cardano Creators Contest: Building Global Ambassador Network</t>
    </r>
  </si>
  <si>
    <r>
      <rPr>
        <rFont val="Calibri, sans-serif"/>
        <color rgb="FF1155CC"/>
        <sz val="11.0"/>
        <u/>
      </rPr>
      <t>Cardano Catalyst And Health Talk For The Aged In Accra</t>
    </r>
  </si>
  <si>
    <r>
      <rPr>
        <rFont val="Calibri, sans-serif"/>
        <color rgb="FF1155CC"/>
        <sz val="11.0"/>
        <u/>
      </rPr>
      <t>[CaFi] Mastering Cardano – Vietnamese Edition</t>
    </r>
  </si>
  <si>
    <r>
      <rPr>
        <rFont val="Calibri, sans-serif"/>
        <color rgb="FF1155CC"/>
        <sz val="11.0"/>
        <u/>
      </rPr>
      <t>Cardano Unchained: Animated Explainers for Mass Adoption</t>
    </r>
  </si>
  <si>
    <r>
      <rPr>
        <rFont val="Calibri, sans-serif"/>
        <color rgb="FF1155CC"/>
        <sz val="11.0"/>
        <u/>
      </rPr>
      <t>Seasons of Collaboration: Funding the ODIN Initiative</t>
    </r>
  </si>
  <si>
    <r>
      <rPr>
        <rFont val="Calibri, sans-serif"/>
        <color rgb="FF1155CC"/>
        <sz val="11.0"/>
        <u/>
      </rPr>
      <t>[C2VN] University Cardano Integration: Education to Research</t>
    </r>
  </si>
  <si>
    <r>
      <rPr>
        <rFont val="Calibri, sans-serif"/>
        <color rgb="FF1155CC"/>
        <sz val="11.0"/>
        <u/>
      </rPr>
      <t>Governance in Pictures</t>
    </r>
  </si>
  <si>
    <r>
      <rPr>
        <rFont val="Calibri, sans-serif"/>
        <color rgb="FF1155CC"/>
        <sz val="11.0"/>
        <u/>
      </rPr>
      <t>Cardano Stars Youtuber Hype for 100 Developers</t>
    </r>
  </si>
  <si>
    <r>
      <rPr>
        <rFont val="Calibri, sans-serif"/>
        <color rgb="FF1155CC"/>
        <sz val="11.0"/>
        <u/>
      </rPr>
      <t>Cardano DACH Region BD &amp; Startup Acceleration Program</t>
    </r>
  </si>
  <si>
    <r>
      <rPr>
        <rFont val="Calibri, sans-serif"/>
        <color rgb="FF1155CC"/>
        <sz val="11.0"/>
        <u/>
      </rPr>
      <t>Cardano Student Club: Africa Expansion Phase 1</t>
    </r>
  </si>
  <si>
    <r>
      <rPr>
        <rFont val="Calibri, sans-serif"/>
        <color rgb="FF1155CC"/>
        <sz val="11.0"/>
        <u/>
      </rPr>
      <t>ADA Adoption Challenge in São Paulo</t>
    </r>
  </si>
  <si>
    <r>
      <rPr>
        <rFont val="Calibri, sans-serif"/>
        <color rgb="FF1155CC"/>
        <sz val="11.0"/>
        <u/>
      </rPr>
      <t>Blockchain Gateway Ethiopia: Cardano for All</t>
    </r>
  </si>
  <si>
    <r>
      <rPr>
        <rFont val="Calibri, sans-serif"/>
        <color rgb="FF1155CC"/>
        <sz val="11.0"/>
        <u/>
      </rPr>
      <t>Cardano Summits for University Students in Ethiopia</t>
    </r>
  </si>
  <si>
    <r>
      <rPr>
        <rFont val="Calibri, sans-serif"/>
        <color rgb="FF1155CC"/>
        <sz val="11.0"/>
        <u/>
      </rPr>
      <t>Vietnam Cardano Developer Boot Camp &amp; Hackathon 2025</t>
    </r>
  </si>
  <si>
    <r>
      <rPr>
        <rFont val="Calibri, sans-serif"/>
        <color rgb="FF1155CC"/>
        <sz val="11.0"/>
        <u/>
      </rPr>
      <t>Empowering Teenage Girls into Blockchain with Cadrano</t>
    </r>
  </si>
  <si>
    <r>
      <rPr>
        <rFont val="Calibri, sans-serif"/>
        <color rgb="FF1155CC"/>
        <sz val="11.0"/>
        <u/>
      </rPr>
      <t>Agora Research Bureau - Voltaire</t>
    </r>
  </si>
  <si>
    <r>
      <rPr>
        <rFont val="Calibri, sans-serif"/>
        <color rgb="FF1155CC"/>
        <sz val="11.0"/>
        <u/>
      </rPr>
      <t>Cardano in Amharic: Ethiopia’s First Blockchain Media Hub</t>
    </r>
  </si>
  <si>
    <r>
      <rPr>
        <rFont val="Calibri, sans-serif"/>
        <color rgb="FF1155CC"/>
        <sz val="11.0"/>
        <u/>
      </rPr>
      <t>Cardano NFT Fest: Indigenous Art Meets Blockchain Innovation</t>
    </r>
  </si>
  <si>
    <r>
      <rPr>
        <rFont val="Calibri, sans-serif"/>
        <color rgb="FF1155CC"/>
        <sz val="11.0"/>
        <u/>
      </rPr>
      <t>[5PC] Cardano &amp; Other Blockchains: A Friendly Layer 1 Guide</t>
    </r>
  </si>
  <si>
    <r>
      <rPr>
        <rFont val="Calibri, sans-serif"/>
        <color rgb="FF1155CC"/>
        <sz val="11.0"/>
        <u/>
      </rPr>
      <t>Daily X and YouTube Marketing by Angry Crypto Show</t>
    </r>
  </si>
  <si>
    <r>
      <rPr>
        <rFont val="Calibri, sans-serif"/>
        <color rgb="FF1155CC"/>
        <sz val="11.0"/>
        <u/>
      </rPr>
      <t>[CASIA] Cardano Asia #1 Cardano-Only TikTok Channel (no AI)</t>
    </r>
  </si>
  <si>
    <r>
      <rPr>
        <rFont val="Calibri, sans-serif"/>
        <color rgb="FF1155CC"/>
        <sz val="11.0"/>
        <u/>
      </rPr>
      <t>Cardano Meme Machine: AI-Generated Meme Video Campaign</t>
    </r>
  </si>
  <si>
    <r>
      <rPr>
        <rFont val="Calibri, sans-serif"/>
        <color rgb="FF1155CC"/>
        <sz val="11.0"/>
        <u/>
      </rPr>
      <t>Carbon Footprint with Cardano - Teambuilding Corporate</t>
    </r>
  </si>
  <si>
    <r>
      <rPr>
        <rFont val="Calibri, sans-serif"/>
        <color rgb="FF1155CC"/>
        <sz val="11.0"/>
        <u/>
      </rPr>
      <t>Translate &amp; Publish "I Can Aiken" Book to Vietnamese</t>
    </r>
  </si>
  <si>
    <r>
      <rPr>
        <rFont val="Calibri, sans-serif"/>
        <color rgb="FF1155CC"/>
        <sz val="11.0"/>
        <u/>
      </rPr>
      <t>RWA/ blockchain attention camps in Gstaad and Montreux</t>
    </r>
  </si>
  <si>
    <r>
      <rPr>
        <rFont val="Calibri, sans-serif"/>
        <color rgb="FF1155CC"/>
        <sz val="11.0"/>
        <u/>
      </rPr>
      <t>DRep Mentorship Circle: Peer-to-Peer Governance Growth Model</t>
    </r>
  </si>
  <si>
    <r>
      <rPr>
        <rFont val="Calibri, sans-serif"/>
        <color rgb="FF1155CC"/>
        <sz val="11.0"/>
        <u/>
      </rPr>
      <t>Practical Cardano dApps for Community Impact</t>
    </r>
  </si>
  <si>
    <r>
      <rPr>
        <rFont val="Calibri, sans-serif"/>
        <color rgb="FF1155CC"/>
        <sz val="11.0"/>
        <u/>
      </rPr>
      <t>ECC Founder Hub – Continuation of European Cardano Community</t>
    </r>
  </si>
  <si>
    <r>
      <rPr>
        <rFont val="Calibri, sans-serif"/>
        <color rgb="FF1155CC"/>
        <sz val="11.0"/>
        <u/>
      </rPr>
      <t>Calderdale Cardano Centre: Crypto for West Yorkshire</t>
    </r>
  </si>
  <si>
    <r>
      <rPr>
        <rFont val="Calibri, sans-serif"/>
        <color rgb="FF1155CC"/>
        <sz val="11.0"/>
        <u/>
      </rPr>
      <t>Cardano Public Goods Hub</t>
    </r>
  </si>
  <si>
    <r>
      <rPr>
        <rFont val="Calibri, sans-serif"/>
        <color rgb="FF1155CC"/>
        <sz val="11.0"/>
        <u/>
      </rPr>
      <t>Cardano Indonesia : On-chain Governance Workshop 2025 - 2026</t>
    </r>
  </si>
  <si>
    <r>
      <rPr>
        <rFont val="Calibri, sans-serif"/>
        <color rgb="FF1155CC"/>
        <sz val="11.0"/>
        <u/>
      </rPr>
      <t>Udemy for Cardano</t>
    </r>
  </si>
  <si>
    <r>
      <rPr>
        <rFont val="Calibri, sans-serif"/>
        <color rgb="FF1155CC"/>
        <sz val="11.0"/>
        <u/>
      </rPr>
      <t>Connect The Dots: Monthly Cardano London Meetups</t>
    </r>
  </si>
  <si>
    <r>
      <rPr>
        <rFont val="Calibri, sans-serif"/>
        <color rgb="FF1155CC"/>
        <sz val="11.0"/>
        <u/>
      </rPr>
      <t>[UBA] University Cardano Developer Bootcamp &amp; Hackathon</t>
    </r>
  </si>
  <si>
    <r>
      <rPr>
        <rFont val="Calibri, sans-serif"/>
        <color rgb="FF1155CC"/>
        <sz val="11.0"/>
        <u/>
      </rPr>
      <t>CardanoAgro LATAM Hub: Pilot Phase Brazil</t>
    </r>
  </si>
  <si>
    <r>
      <rPr>
        <rFont val="Calibri, sans-serif"/>
        <color rgb="FF1155CC"/>
        <sz val="11.0"/>
        <u/>
      </rPr>
      <t>Cardano and Web3 Onboarding Program in the DRC</t>
    </r>
  </si>
  <si>
    <r>
      <rPr>
        <rFont val="Calibri, sans-serif"/>
        <color rgb="FF1155CC"/>
        <sz val="11.0"/>
        <u/>
      </rPr>
      <t>Agora Governance Knowledge Base</t>
    </r>
  </si>
  <si>
    <r>
      <rPr>
        <rFont val="Calibri, sans-serif"/>
        <color rgb="FF1155CC"/>
        <sz val="11.0"/>
        <u/>
      </rPr>
      <t>Cardano 101: Secure Onboarding for New Users</t>
    </r>
  </si>
  <si>
    <r>
      <rPr>
        <rFont val="Calibri, sans-serif"/>
        <color rgb="FF1155CC"/>
        <sz val="11.0"/>
        <u/>
      </rPr>
      <t>[BBO] The 24-Hour Cardano Pulse</t>
    </r>
  </si>
  <si>
    <r>
      <rPr>
        <rFont val="Calibri, sans-serif"/>
        <color rgb="FF1155CC"/>
        <sz val="11.0"/>
        <u/>
      </rPr>
      <t>dRep4Schools - Student Leadership Meets Cardano Governance</t>
    </r>
  </si>
  <si>
    <r>
      <rPr>
        <rFont val="Calibri, sans-serif"/>
        <color rgb="FF1155CC"/>
        <sz val="11.0"/>
        <u/>
      </rPr>
      <t>Homeless Hub Ideas Lab - ideating dApps for homeless people</t>
    </r>
  </si>
  <si>
    <r>
      <rPr>
        <rFont val="Calibri, sans-serif"/>
        <color rgb="FF1155CC"/>
        <sz val="11.0"/>
        <u/>
      </rPr>
      <t>9DAO sample project</t>
    </r>
  </si>
  <si>
    <r>
      <rPr>
        <rFont val="Calibri, sans-serif"/>
        <color rgb="FF1155CC"/>
        <sz val="11.0"/>
        <u/>
      </rPr>
      <t>Cardano Blockchain Education for East African Universities</t>
    </r>
  </si>
  <si>
    <r>
      <rPr>
        <rFont val="Calibri, sans-serif"/>
        <color rgb="FF1155CC"/>
        <sz val="11.0"/>
        <u/>
      </rPr>
      <t>[C2VN]: Aiken Live Coding – Cardano Smart Contract Mastery</t>
    </r>
  </si>
  <si>
    <r>
      <rPr>
        <rFont val="Calibri, sans-serif"/>
        <color rgb="FF1155CC"/>
        <sz val="11.0"/>
        <u/>
      </rPr>
      <t>Cardano School for Gifted Entrepreneurs</t>
    </r>
  </si>
  <si>
    <r>
      <rPr>
        <rFont val="Calibri, sans-serif"/>
        <color rgb="FF1155CC"/>
        <sz val="11.0"/>
        <u/>
      </rPr>
      <t>Moldova Blockchain Centre</t>
    </r>
  </si>
  <si>
    <r>
      <rPr>
        <rFont val="Calibri, sans-serif"/>
        <color rgb="FF1155CC"/>
        <sz val="11.0"/>
        <u/>
      </rPr>
      <t>StaTwig Advocacy: Cardano for Good Governance</t>
    </r>
  </si>
  <si>
    <r>
      <rPr>
        <rFont val="Calibri, sans-serif"/>
        <color rgb="FF1155CC"/>
        <sz val="11.0"/>
        <u/>
      </rPr>
      <t>[5PC] Cardano Journey: Cardano Education &amp; Expansion Podcast</t>
    </r>
  </si>
  <si>
    <r>
      <rPr>
        <rFont val="Calibri, sans-serif"/>
        <color rgb="FF1155CC"/>
        <sz val="11.0"/>
        <u/>
      </rPr>
      <t>SCATDAO Monthly DYOR Competitions and Scam Monitoring</t>
    </r>
  </si>
  <si>
    <r>
      <rPr>
        <rFont val="Calibri, sans-serif"/>
        <color rgb="FF1155CC"/>
        <sz val="11.0"/>
        <u/>
      </rPr>
      <t>ADApt Trondheim: Cardano _in-person_ Bootcamp Series</t>
    </r>
  </si>
  <si>
    <r>
      <rPr>
        <rFont val="Calibri, sans-serif"/>
        <color rgb="FF1155CC"/>
        <sz val="11.0"/>
        <u/>
      </rPr>
      <t>[VCC] Cardano asset tracker - Privacy, Easy and Free</t>
    </r>
  </si>
  <si>
    <r>
      <rPr>
        <rFont val="Calibri, sans-serif"/>
        <color rgb="FF1155CC"/>
        <sz val="11.0"/>
        <u/>
      </rPr>
      <t>Cardano Core Program: Boost 400+ Vietnam dApp-Ready Builders</t>
    </r>
  </si>
  <si>
    <r>
      <rPr>
        <rFont val="Calibri, sans-serif"/>
        <color rgb="FF1155CC"/>
        <sz val="11.0"/>
        <u/>
      </rPr>
      <t>Web3 Cites Network x Cardano</t>
    </r>
  </si>
  <si>
    <r>
      <rPr>
        <rFont val="Calibri, sans-serif"/>
        <color rgb="FF1155CC"/>
        <sz val="11.0"/>
        <u/>
      </rPr>
      <t>Content Creator DeFi Adoption Campaign</t>
    </r>
  </si>
  <si>
    <r>
      <rPr>
        <rFont val="Calibri, sans-serif"/>
        <color rgb="FF1155CC"/>
        <sz val="11.0"/>
        <u/>
      </rPr>
      <t>Cardano Community Showcase for Multichain Crowd – Berlin</t>
    </r>
  </si>
  <si>
    <r>
      <rPr>
        <rFont val="Calibri, sans-serif"/>
        <color rgb="FF1155CC"/>
        <sz val="11.0"/>
        <u/>
      </rPr>
      <t>CardaNative Enterprises and Agencies</t>
    </r>
  </si>
  <si>
    <r>
      <rPr>
        <rFont val="Calibri, sans-serif"/>
        <color rgb="FF1155CC"/>
        <sz val="11.0"/>
        <u/>
      </rPr>
      <t>Cardano Soomaali: YouTube &amp; Telegram for Education</t>
    </r>
  </si>
  <si>
    <r>
      <rPr>
        <rFont val="Calibri, sans-serif"/>
        <color rgb="FF1155CC"/>
        <sz val="11.0"/>
        <u/>
      </rPr>
      <t>Global Townhall Summaries for LATAM 🌎✨🌎✨</t>
    </r>
  </si>
  <si>
    <r>
      <rPr>
        <rFont val="Calibri, sans-serif"/>
        <color rgb="FF1155CC"/>
        <sz val="11.0"/>
        <u/>
      </rPr>
      <t>Cardano Innovation Hub: Build Developers, Launch Ventures</t>
    </r>
  </si>
  <si>
    <r>
      <rPr>
        <rFont val="Calibri, sans-serif"/>
        <color rgb="FF1155CC"/>
        <sz val="11.0"/>
        <u/>
      </rPr>
      <t>Blockchain Adventures – A 6-Book Children’s Series</t>
    </r>
  </si>
  <si>
    <r>
      <rPr>
        <rFont val="Calibri, sans-serif"/>
        <color rgb="FF1155CC"/>
        <sz val="11.0"/>
        <u/>
      </rPr>
      <t>Cardano Summit Paraguay 2025</t>
    </r>
  </si>
  <si>
    <r>
      <rPr>
        <rFont val="Calibri, sans-serif"/>
        <color rgb="FF1155CC"/>
        <sz val="11.0"/>
        <u/>
      </rPr>
      <t>Sandbox Consolidation A Nationwide Push for Cardano Adoption</t>
    </r>
  </si>
  <si>
    <r>
      <rPr>
        <rFont val="Calibri, sans-serif"/>
        <color rgb="FF1155CC"/>
        <sz val="11.0"/>
        <u/>
      </rPr>
      <t>Revolutionizing Professional Accountability on Cardano</t>
    </r>
  </si>
  <si>
    <r>
      <rPr>
        <rFont val="Calibri, sans-serif"/>
        <color rgb="FF1155CC"/>
        <sz val="11.0"/>
        <u/>
      </rPr>
      <t>ESG Masters - a tech for sustainability conference format</t>
    </r>
  </si>
  <si>
    <r>
      <rPr>
        <rFont val="Calibri, sans-serif"/>
        <color rgb="FF1155CC"/>
        <sz val="11.0"/>
        <u/>
      </rPr>
      <t>[CaFiNet] Cardano Explorers: Explore the Cardano Ecosystem</t>
    </r>
  </si>
  <si>
    <r>
      <rPr>
        <rFont val="Calibri, sans-serif"/>
        <color rgb="FF1155CC"/>
        <sz val="11.0"/>
        <u/>
      </rPr>
      <t>Scaling Cardano’s Voice in Latin America</t>
    </r>
  </si>
  <si>
    <r>
      <rPr>
        <rFont val="Calibri, sans-serif"/>
        <color rgb="FF1155CC"/>
        <sz val="11.0"/>
        <u/>
      </rPr>
      <t>Cardano Incubator for students of universities in Venezuela</t>
    </r>
  </si>
  <si>
    <r>
      <rPr>
        <rFont val="Calibri, sans-serif"/>
        <color rgb="FF1155CC"/>
        <sz val="11.0"/>
        <u/>
      </rPr>
      <t>Linkberry Kenya – Cardano-Powered Creator Academy</t>
    </r>
  </si>
  <si>
    <r>
      <rPr>
        <rFont val="Calibri, sans-serif"/>
        <color rgb="FF1155CC"/>
        <sz val="11.0"/>
        <u/>
      </rPr>
      <t>Cardano Ghana Bootcamp</t>
    </r>
  </si>
  <si>
    <r>
      <rPr>
        <rFont val="Calibri, sans-serif"/>
        <color rgb="FF1155CC"/>
        <sz val="11.0"/>
        <u/>
      </rPr>
      <t>[5PC] Cardano Breaking News</t>
    </r>
  </si>
  <si>
    <r>
      <rPr>
        <rFont val="Calibri, sans-serif"/>
        <color rgb="FF1155CC"/>
        <sz val="11.0"/>
        <u/>
      </rPr>
      <t>Cardano 4Teens: Educating Teens for a Blockchain Future</t>
    </r>
  </si>
  <si>
    <r>
      <rPr>
        <rFont val="Calibri, sans-serif"/>
        <color rgb="FF1155CC"/>
        <sz val="11.0"/>
        <u/>
      </rPr>
      <t>Funding the Commons Buenos Aires Residency</t>
    </r>
  </si>
  <si>
    <r>
      <rPr>
        <rFont val="Calibri, sans-serif"/>
        <color rgb="FF1155CC"/>
        <sz val="11.0"/>
        <u/>
      </rPr>
      <t>1,000+ Cardano Wallets: Onboarding Perth, Western Australia</t>
    </r>
  </si>
  <si>
    <r>
      <rPr>
        <rFont val="Calibri, sans-serif"/>
        <color rgb="FF1155CC"/>
        <sz val="11.0"/>
        <u/>
      </rPr>
      <t>Nkrypt: A Grassroots Campaign for Cardano Creator Adoption</t>
    </r>
  </si>
  <si>
    <r>
      <rPr>
        <rFont val="Calibri, sans-serif"/>
        <color rgb="FF1155CC"/>
        <sz val="11.0"/>
        <u/>
      </rPr>
      <t>Blockforge Africa Incubator and Accelerator</t>
    </r>
  </si>
  <si>
    <r>
      <rPr>
        <rFont val="Calibri, sans-serif"/>
        <color rgb="FF1155CC"/>
        <sz val="11.0"/>
        <u/>
      </rPr>
      <t>Student Focus Curriculum for Cardano Devs</t>
    </r>
  </si>
  <si>
    <r>
      <rPr>
        <rFont val="Calibri, sans-serif"/>
        <color rgb="FF1155CC"/>
        <sz val="11.0"/>
        <u/>
      </rPr>
      <t>Cardano Awareness: Multilingual Blockchain Education</t>
    </r>
  </si>
  <si>
    <r>
      <rPr>
        <rFont val="Calibri, sans-serif"/>
        <color rgb="FF1155CC"/>
        <sz val="11.0"/>
        <u/>
      </rPr>
      <t>AfaanChain Academy: Bridging language gaps in blockchain.</t>
    </r>
  </si>
  <si>
    <r>
      <rPr>
        <rFont val="Calibri, sans-serif"/>
        <color rgb="FF1155CC"/>
        <sz val="11.0"/>
        <u/>
      </rPr>
      <t>Cardano Summit NYC 2026: Global DeFi Connect</t>
    </r>
  </si>
  <si>
    <r>
      <rPr>
        <rFont val="Calibri, sans-serif"/>
        <color rgb="FF1155CC"/>
        <sz val="11.0"/>
        <u/>
      </rPr>
      <t>Stablecoin Trading Bots Education and Marketplace Portal</t>
    </r>
  </si>
  <si>
    <r>
      <rPr>
        <rFont val="Calibri, sans-serif"/>
        <color rgb="FF1155CC"/>
        <sz val="11.0"/>
        <u/>
      </rPr>
      <t>Cardano Build Kitchen India : Ideate, Collaborate, Showcase</t>
    </r>
  </si>
  <si>
    <r>
      <rPr>
        <rFont val="Calibri, sans-serif"/>
        <color rgb="FF1155CC"/>
        <sz val="11.0"/>
        <u/>
      </rPr>
      <t>Brazil &amp; Portugal: Aiken Course in Portuguese for Devs</t>
    </r>
  </si>
  <si>
    <r>
      <rPr>
        <rFont val="Calibri, sans-serif"/>
        <color rgb="FF1155CC"/>
        <sz val="11.0"/>
        <u/>
      </rPr>
      <t>Proof of Coffee – Cardano Talks</t>
    </r>
  </si>
  <si>
    <r>
      <rPr>
        <rFont val="Calibri, sans-serif"/>
        <color rgb="FF1155CC"/>
        <sz val="11.0"/>
        <u/>
      </rPr>
      <t>Cardano University Clubs Network (CUCN)</t>
    </r>
  </si>
  <si>
    <r>
      <rPr>
        <rFont val="Calibri, sans-serif"/>
        <color rgb="FF1155CC"/>
        <sz val="11.0"/>
        <u/>
      </rPr>
      <t>Building the Future Cardano Hub in Northeast Brazil</t>
    </r>
  </si>
  <si>
    <r>
      <rPr>
        <rFont val="Calibri, sans-serif"/>
        <color rgb="FF1155CC"/>
        <sz val="11.0"/>
        <u/>
      </rPr>
      <t>Cardano Blockchain Developer Certification in Latin America</t>
    </r>
  </si>
  <si>
    <r>
      <rPr>
        <rFont val="Calibri, sans-serif"/>
        <color rgb="FF1155CC"/>
        <sz val="11.0"/>
        <u/>
      </rPr>
      <t>Cardano in Spanish 3</t>
    </r>
  </si>
  <si>
    <r>
      <rPr>
        <rFont val="Calibri, sans-serif"/>
        <color rgb="FF1155CC"/>
        <sz val="11.0"/>
        <u/>
      </rPr>
      <t>Cardano TikTok Outreach: Engaging the Community</t>
    </r>
  </si>
  <si>
    <r>
      <rPr>
        <rFont val="Calibri, sans-serif"/>
        <color rgb="FF1155CC"/>
        <sz val="11.0"/>
        <u/>
      </rPr>
      <t>CARDANO CADETS: The Military Forces Initiative</t>
    </r>
  </si>
  <si>
    <r>
      <rPr>
        <rFont val="Calibri, sans-serif"/>
        <color rgb="FF1155CC"/>
        <sz val="11.0"/>
        <u/>
      </rPr>
      <t>[IVY] Expanding Cardano to Vietnam’s Investors and Builders</t>
    </r>
  </si>
  <si>
    <r>
      <rPr>
        <rFont val="Calibri, sans-serif"/>
        <color rgb="FF1155CC"/>
        <sz val="11.0"/>
        <u/>
      </rPr>
      <t>[CaFiNet] Cardano Legacy The Future Builders</t>
    </r>
  </si>
  <si>
    <r>
      <rPr>
        <rFont val="Calibri, sans-serif"/>
        <color rgb="FF1155CC"/>
        <sz val="11.0"/>
        <u/>
      </rPr>
      <t>Leader Talks - Cardano Streaming</t>
    </r>
  </si>
  <si>
    <r>
      <rPr>
        <rFont val="Calibri, sans-serif"/>
        <color rgb="FF1155CC"/>
        <sz val="11.0"/>
        <u/>
      </rPr>
      <t>LATAM Devs Army: +100 New Cardano Developers</t>
    </r>
  </si>
  <si>
    <r>
      <rPr>
        <rFont val="Calibri, sans-serif"/>
        <color rgb="FF1155CC"/>
        <sz val="11.0"/>
        <u/>
      </rPr>
      <t>Crypto Legislation via Popular Petition in Paraguay</t>
    </r>
  </si>
  <si>
    <r>
      <rPr>
        <rFont val="Calibri, sans-serif"/>
        <color rgb="FF1155CC"/>
        <sz val="11.0"/>
        <u/>
      </rPr>
      <t>Cardano Blockchain Education in Cameroon</t>
    </r>
  </si>
  <si>
    <r>
      <rPr>
        <rFont val="Calibri, sans-serif"/>
        <color rgb="FF1155CC"/>
        <sz val="11.0"/>
        <u/>
      </rPr>
      <t>Onboarding Dubai's Expat Coders to Cardano</t>
    </r>
  </si>
  <si>
    <r>
      <rPr>
        <rFont val="Calibri, sans-serif"/>
        <color rgb="FF1155CC"/>
        <sz val="11.0"/>
        <u/>
      </rPr>
      <t>Cardano University Ambassadors Network</t>
    </r>
  </si>
  <si>
    <r>
      <rPr>
        <rFont val="Calibri, sans-serif"/>
        <color rgb="FF1155CC"/>
        <sz val="11.0"/>
        <u/>
      </rPr>
      <t>Governance &amp; Developer Workshops Across 5 African Countries</t>
    </r>
  </si>
  <si>
    <r>
      <rPr>
        <rFont val="Calibri, sans-serif"/>
        <color rgb="FF1155CC"/>
        <sz val="11.0"/>
        <u/>
      </rPr>
      <t>Cardano Course: Educating 20,000+ Learners with 25 courses</t>
    </r>
  </si>
  <si>
    <r>
      <rPr>
        <rFont val="Calibri, sans-serif"/>
        <color rgb="FF1155CC"/>
        <sz val="11.0"/>
        <u/>
      </rPr>
      <t>Cardano Hackathons: Addis Ababa &amp; Adama</t>
    </r>
  </si>
  <si>
    <r>
      <rPr>
        <rFont val="Calibri, sans-serif"/>
        <color rgb="FF1155CC"/>
        <sz val="11.0"/>
        <u/>
      </rPr>
      <t>Token Issuance Legal Suite (TILS) for Cardano</t>
    </r>
  </si>
  <si>
    <r>
      <rPr>
        <rFont val="Calibri, sans-serif"/>
        <color rgb="FF1155CC"/>
        <sz val="11.0"/>
        <u/>
      </rPr>
      <t>Onboarding of college students in Brazil</t>
    </r>
  </si>
  <si>
    <r>
      <rPr>
        <rFont val="Calibri, sans-serif"/>
        <color rgb="FF1155CC"/>
        <sz val="11.0"/>
        <u/>
      </rPr>
      <t>Cardano for Educators: A Platform for Blockchain Education</t>
    </r>
  </si>
  <si>
    <r>
      <rPr>
        <rFont val="Calibri, sans-serif"/>
        <color rgb="FF1155CC"/>
        <sz val="11.0"/>
        <u/>
      </rPr>
      <t>KWARXS pres. BlockXBangkok – The Cardano Community Fusion</t>
    </r>
  </si>
  <si>
    <r>
      <rPr>
        <rFont val="Calibri, sans-serif"/>
        <color rgb="FF1155CC"/>
        <sz val="11.0"/>
        <u/>
      </rPr>
      <t>Onboarding Filipinos to Cardano: Education &amp; Activation</t>
    </r>
  </si>
  <si>
    <r>
      <rPr>
        <rFont val="Calibri, sans-serif"/>
        <color rgb="FF1155CC"/>
        <sz val="11.0"/>
        <u/>
      </rPr>
      <t>Regenerative Cardano Bootcamp for Latin America</t>
    </r>
  </si>
  <si>
    <r>
      <rPr>
        <rFont val="Calibri, sans-serif"/>
        <color rgb="FF1155CC"/>
        <sz val="11.0"/>
        <u/>
      </rPr>
      <t>Cardano DeFi Use Cases &amp; Success Stories PR Campaign</t>
    </r>
  </si>
  <si>
    <r>
      <rPr>
        <rFont val="Calibri, sans-serif"/>
        <color rgb="FF1155CC"/>
        <sz val="11.0"/>
        <u/>
      </rPr>
      <t>Advanced Milestone Reviewer Course Led by Program Veterans</t>
    </r>
  </si>
  <si>
    <r>
      <rPr>
        <rFont val="Calibri, sans-serif"/>
        <color rgb="FF1155CC"/>
        <sz val="11.0"/>
        <u/>
      </rPr>
      <t>Blockchain 101 University Workshop Series (Vietnam)</t>
    </r>
  </si>
  <si>
    <r>
      <rPr>
        <rFont val="Calibri, sans-serif"/>
        <color rgb="FF1155CC"/>
        <sz val="11.0"/>
        <u/>
      </rPr>
      <t>LATAM Cardano Community Operations</t>
    </r>
  </si>
  <si>
    <r>
      <rPr>
        <rFont val="Calibri, sans-serif"/>
        <color rgb="FF1155CC"/>
        <sz val="11.0"/>
        <u/>
      </rPr>
      <t>Francophone Access to Cardano Through Education</t>
    </r>
  </si>
  <si>
    <r>
      <rPr>
        <rFont val="Calibri, sans-serif"/>
        <color rgb="FF1155CC"/>
        <sz val="11.0"/>
        <u/>
      </rPr>
      <t>Hub Cardano in Brazil Operations - By GovChainLab</t>
    </r>
  </si>
  <si>
    <r>
      <rPr>
        <rFont val="Calibri, sans-serif"/>
        <color rgb="FF1155CC"/>
        <sz val="11.0"/>
        <u/>
      </rPr>
      <t>JellyLabs - Incubating &amp; Accelerating Cardano Projects</t>
    </r>
  </si>
  <si>
    <r>
      <rPr>
        <rFont val="Calibri, sans-serif"/>
        <color rgb="FF1155CC"/>
        <sz val="11.0"/>
        <u/>
      </rPr>
      <t>Cardano Breakthrough: East African 6-City Hackathon</t>
    </r>
  </si>
  <si>
    <r>
      <rPr>
        <rFont val="Calibri, sans-serif"/>
        <color rgb="FF1155CC"/>
        <sz val="11.0"/>
        <u/>
      </rPr>
      <t>Corporate Promotion of Cardano</t>
    </r>
  </si>
  <si>
    <r>
      <rPr>
        <rFont val="Calibri, sans-serif"/>
        <color rgb="FF1155CC"/>
        <sz val="11.0"/>
        <u/>
      </rPr>
      <t>Cardano Green Legacy in Ethiopia and Kenya</t>
    </r>
  </si>
  <si>
    <r>
      <rPr>
        <rFont val="Calibri, sans-serif"/>
        <color rgb="FF1155CC"/>
        <sz val="11.0"/>
        <u/>
      </rPr>
      <t>Ride the Future: Promoting Cardano Through Motion &amp; Media</t>
    </r>
  </si>
  <si>
    <r>
      <rPr>
        <rFont val="Calibri, sans-serif"/>
        <color rgb="FF1155CC"/>
        <sz val="11.0"/>
        <u/>
      </rPr>
      <t>[CaFi] Cardano News Digest – Phase 2</t>
    </r>
  </si>
  <si>
    <r>
      <rPr>
        <rFont val="Calibri, sans-serif"/>
        <color rgb="FF1155CC"/>
        <sz val="11.0"/>
        <u/>
      </rPr>
      <t>Cardano Onbording for 10,000+ UoPeople Students</t>
    </r>
  </si>
  <si>
    <r>
      <rPr>
        <rFont val="Calibri, sans-serif"/>
        <color rgb="FF1155CC"/>
        <sz val="11.0"/>
        <u/>
      </rPr>
      <t>Cardano Daily News in Portuguese - By GovChaibLab</t>
    </r>
  </si>
  <si>
    <r>
      <rPr>
        <rFont val="Calibri, sans-serif"/>
        <color rgb="FF1155CC"/>
        <sz val="11.0"/>
        <u/>
      </rPr>
      <t>Decentralized Finance Course for Beginners</t>
    </r>
  </si>
  <si>
    <r>
      <rPr>
        <rFont val="Calibri, sans-serif"/>
        <color rgb="FF1155CC"/>
        <sz val="11.0"/>
        <u/>
      </rPr>
      <t>Multilingual Cardano Education for Ethiopia</t>
    </r>
  </si>
  <si>
    <r>
      <rPr>
        <rFont val="Calibri, sans-serif"/>
        <color rgb="FF1155CC"/>
        <sz val="11.0"/>
        <u/>
      </rPr>
      <t>Cardano A–Z: Open Web Glossary for Everyone</t>
    </r>
  </si>
  <si>
    <r>
      <rPr>
        <rFont val="Calibri, sans-serif"/>
        <color rgb="FF1155CC"/>
        <sz val="11.0"/>
        <u/>
      </rPr>
      <t>CardanoQuest: Learn, Explore &amp; Build on Cardano Easily</t>
    </r>
  </si>
  <si>
    <r>
      <rPr>
        <rFont val="Calibri, sans-serif"/>
        <color rgb="FF1155CC"/>
        <sz val="11.0"/>
        <u/>
      </rPr>
      <t>Asia is coming to Cardano Summit - Pukecast Invasion</t>
    </r>
  </si>
  <si>
    <r>
      <rPr>
        <rFont val="Calibri, sans-serif"/>
        <color rgb="FF1155CC"/>
        <sz val="11.0"/>
        <u/>
      </rPr>
      <t>High-Impact Investor Onboarding: Exclusive Cardano Growth</t>
    </r>
  </si>
  <si>
    <r>
      <rPr>
        <rFont val="Calibri, sans-serif"/>
        <color rgb="FF1155CC"/>
        <sz val="11.0"/>
        <u/>
      </rPr>
      <t>Cardano Store: Onboarding University Students at Tech Events</t>
    </r>
  </si>
  <si>
    <r>
      <rPr>
        <rFont val="Calibri, sans-serif"/>
        <color rgb="FF1155CC"/>
        <sz val="11.0"/>
        <u/>
      </rPr>
      <t>Vietnam Cardano Ideathon 2026</t>
    </r>
  </si>
  <si>
    <r>
      <rPr>
        <rFont val="Calibri, sans-serif"/>
        <color rgb="FF1155CC"/>
        <sz val="11.0"/>
        <u/>
      </rPr>
      <t>Defining the First Jurisprudential Milestones for Cardano</t>
    </r>
  </si>
  <si>
    <r>
      <rPr>
        <rFont val="Calibri, sans-serif"/>
        <color rgb="FF1155CC"/>
        <sz val="11.0"/>
        <u/>
      </rPr>
      <t>Learns Cardano – Expanding Cardano Education in Vietnamese</t>
    </r>
  </si>
  <si>
    <r>
      <rPr>
        <rFont val="Calibri, sans-serif"/>
        <color rgb="FF1155CC"/>
        <sz val="11.0"/>
        <u/>
      </rPr>
      <t>The ADA Song — Community Anthem &amp; Remix Contest for Cardano</t>
    </r>
  </si>
  <si>
    <r>
      <rPr>
        <rFont val="Calibri, sans-serif"/>
        <color rgb="FF1155CC"/>
        <sz val="11.0"/>
        <u/>
      </rPr>
      <t>Cardano Ethio-Africa Hub at Addis Abebba</t>
    </r>
  </si>
  <si>
    <r>
      <rPr>
        <rFont val="Calibri, sans-serif"/>
        <color rgb="FF1155CC"/>
        <sz val="11.0"/>
        <u/>
      </rPr>
      <t>Cardano Enterprise GTM Toolkit</t>
    </r>
  </si>
  <si>
    <r>
      <rPr>
        <rFont val="Calibri, sans-serif"/>
        <color rgb="FF1155CC"/>
        <sz val="11.0"/>
        <u/>
      </rPr>
      <t>Launch and Showcase 6 Replicable Models to scale Cardano!</t>
    </r>
  </si>
  <si>
    <r>
      <rPr>
        <rFont val="Calibri, sans-serif"/>
        <color rgb="FF1155CC"/>
        <sz val="11.0"/>
        <u/>
      </rPr>
      <t>CTimelines Infographics – Promoting Cardano's History</t>
    </r>
  </si>
  <si>
    <r>
      <rPr>
        <rFont val="Calibri, sans-serif"/>
        <color rgb="FF1155CC"/>
        <sz val="11.0"/>
        <u/>
      </rPr>
      <t>[5PC]Catalyst in Motion – Viral TikTok Education</t>
    </r>
  </si>
  <si>
    <r>
      <rPr>
        <rFont val="Calibri, sans-serif"/>
        <color rgb="FF1155CC"/>
        <sz val="11.0"/>
        <u/>
      </rPr>
      <t>Cardano x FatboyKenya: 20K Wallets, 2 Cities, 6 Days</t>
    </r>
  </si>
  <si>
    <r>
      <rPr>
        <rFont val="Calibri, sans-serif"/>
        <color rgb="FF1155CC"/>
        <sz val="11.0"/>
        <u/>
      </rPr>
      <t>Cardano Awareness Campaign in Ethiopia</t>
    </r>
  </si>
  <si>
    <r>
      <rPr>
        <rFont val="Calibri, sans-serif"/>
        <color rgb="FF1155CC"/>
        <sz val="11.0"/>
        <u/>
      </rPr>
      <t>Unlocking Cardano in Kenya: Student Innovation Hackathon</t>
    </r>
  </si>
  <si>
    <r>
      <rPr>
        <rFont val="Calibri, sans-serif"/>
        <color rgb="FF1155CC"/>
        <sz val="11.0"/>
        <u/>
      </rPr>
      <t>AZTECA Hackathon in Latam First Edition</t>
    </r>
  </si>
  <si>
    <r>
      <rPr>
        <rFont val="Calibri, sans-serif"/>
        <color rgb="FF1155CC"/>
        <sz val="11.0"/>
        <u/>
      </rPr>
      <t>Cardano Policy Paper: Unlocking LATAM’s Path to Adoption</t>
    </r>
  </si>
  <si>
    <r>
      <rPr>
        <rFont val="Calibri, sans-serif"/>
        <color rgb="FF1155CC"/>
        <sz val="11.0"/>
        <u/>
      </rPr>
      <t>Community Code Review: Season 2</t>
    </r>
  </si>
  <si>
    <r>
      <rPr>
        <rFont val="Calibri, sans-serif"/>
        <color rgb="FF1155CC"/>
        <sz val="11.0"/>
        <u/>
      </rPr>
      <t>Cardano First steps in Nyiragongo/education and mobile money</t>
    </r>
  </si>
  <si>
    <r>
      <rPr>
        <rFont val="Calibri, sans-serif"/>
        <color rgb="FF1155CC"/>
        <sz val="11.0"/>
        <u/>
      </rPr>
      <t>Cardano's Future : Building the Young</t>
    </r>
  </si>
  <si>
    <r>
      <rPr>
        <rFont val="Calibri, sans-serif"/>
        <color rgb="FF1155CC"/>
        <sz val="11.0"/>
        <u/>
      </rPr>
      <t>Accessible Cardano educational resources in Spanish</t>
    </r>
  </si>
  <si>
    <r>
      <rPr>
        <rFont val="Calibri, sans-serif"/>
        <color rgb="FF1155CC"/>
        <sz val="11.0"/>
        <u/>
      </rPr>
      <t>Activating 100k Users: First Cardano Wallet &amp; Tx</t>
    </r>
  </si>
  <si>
    <r>
      <rPr>
        <rFont val="Calibri, sans-serif"/>
        <color rgb="FF1155CC"/>
        <sz val="11.0"/>
        <u/>
      </rPr>
      <t>Women of Web3 Support Channels</t>
    </r>
  </si>
  <si>
    <r>
      <rPr>
        <rFont val="Calibri, sans-serif"/>
        <color rgb="FF1155CC"/>
        <sz val="11.0"/>
        <u/>
      </rPr>
      <t>Cardano for Northern Ghana: Empowering North on Cardano.</t>
    </r>
  </si>
  <si>
    <r>
      <rPr>
        <rFont val="Calibri, sans-serif"/>
        <color rgb="FF1155CC"/>
        <sz val="11.0"/>
        <u/>
      </rPr>
      <t>Automated Content Engine for Cardano Awareness</t>
    </r>
  </si>
  <si>
    <r>
      <rPr>
        <rFont val="Calibri, sans-serif"/>
        <color rgb="FF1155CC"/>
        <sz val="11.0"/>
        <u/>
      </rPr>
      <t>[Cardano Vietnam x Sky3Team] Vietnam Cardano Builder Hub</t>
    </r>
  </si>
  <si>
    <r>
      <rPr>
        <rFont val="Calibri, sans-serif"/>
        <color rgb="FF1155CC"/>
        <sz val="11.0"/>
        <u/>
      </rPr>
      <t>Explaining Blockchain Simply: Cardano Education for Everyone</t>
    </r>
  </si>
  <si>
    <r>
      <rPr>
        <rFont val="Calibri, sans-serif"/>
        <color rgb="FF1155CC"/>
        <sz val="11.0"/>
        <u/>
      </rPr>
      <t>Crypto Law Education for Lawyers</t>
    </r>
  </si>
  <si>
    <r>
      <rPr>
        <rFont val="Calibri, sans-serif"/>
        <color rgb="FF1155CC"/>
        <sz val="11.0"/>
        <u/>
      </rPr>
      <t>Catalyst Impact Analysis Study</t>
    </r>
  </si>
  <si>
    <r>
      <rPr>
        <rFont val="Calibri, sans-serif"/>
        <color rgb="FF1155CC"/>
        <sz val="11.0"/>
        <u/>
      </rPr>
      <t>Women on Chain Ethiopia: Cardano Literacy &amp; Access</t>
    </r>
  </si>
  <si>
    <r>
      <rPr>
        <rFont val="Calibri, sans-serif"/>
        <color rgb="FF1155CC"/>
        <sz val="11.0"/>
        <u/>
      </rPr>
      <t>Cardano Gamified Playground For Highschool and University</t>
    </r>
  </si>
  <si>
    <r>
      <rPr>
        <rFont val="Calibri, sans-serif"/>
        <color rgb="FF1155CC"/>
        <sz val="11.0"/>
        <u/>
      </rPr>
      <t>LATAM Cardano yearly event - Colombia 2026</t>
    </r>
  </si>
  <si>
    <r>
      <rPr>
        <rFont val="Calibri, sans-serif"/>
        <color rgb="FF1155CC"/>
        <sz val="11.0"/>
        <u/>
      </rPr>
      <t>DevX Code &amp; Conquer Series: Powered by Cardano</t>
    </r>
  </si>
  <si>
    <r>
      <rPr>
        <rFont val="Calibri, sans-serif"/>
        <color rgb="FF1155CC"/>
        <sz val="11.0"/>
        <u/>
      </rPr>
      <t>Brazil/Portugal: Daily Videos &amp; Weekly Spaces on Cardano</t>
    </r>
  </si>
  <si>
    <r>
      <rPr>
        <rFont val="Calibri, sans-serif"/>
        <color rgb="FF1155CC"/>
        <sz val="11.0"/>
        <u/>
      </rPr>
      <t>Digital Assets Roundtable Series 2.0</t>
    </r>
  </si>
  <si>
    <r>
      <rPr>
        <rFont val="Calibri, sans-serif"/>
        <color rgb="FF1155CC"/>
        <sz val="11.0"/>
        <u/>
      </rPr>
      <t>Empowering Women in Ghana: Cardano Hubs for Blockchain &amp; Biz</t>
    </r>
  </si>
  <si>
    <r>
      <rPr>
        <rFont val="Calibri, sans-serif"/>
        <color rgb="FF1155CC"/>
        <sz val="11.0"/>
        <u/>
      </rPr>
      <t>Erasmus Blockchain Club Network</t>
    </r>
  </si>
  <si>
    <r>
      <rPr>
        <rFont val="Calibri, sans-serif"/>
        <color rgb="FF1155CC"/>
        <sz val="11.0"/>
        <u/>
      </rPr>
      <t>Vendano: Physical HOSKY/NFT Card Campaign (10 US Cities)</t>
    </r>
  </si>
  <si>
    <r>
      <rPr>
        <rFont val="Calibri, sans-serif"/>
        <color rgb="FF1155CC"/>
        <sz val="11.0"/>
        <u/>
      </rPr>
      <t>Catalyst without Borders: Diversifying the Ballot</t>
    </r>
  </si>
  <si>
    <r>
      <rPr>
        <rFont val="Calibri, sans-serif"/>
        <color rgb="FF1155CC"/>
        <sz val="11.0"/>
        <u/>
      </rPr>
      <t>Cardano Pavilion at Premier Expos</t>
    </r>
  </si>
  <si>
    <r>
      <rPr>
        <rFont val="Calibri, sans-serif"/>
        <color rgb="FF1155CC"/>
        <sz val="11.0"/>
        <u/>
      </rPr>
      <t>onboard 30 ethiopian merchants to accept Cardano(ADA)</t>
    </r>
  </si>
  <si>
    <r>
      <rPr>
        <rFont val="Calibri, sans-serif"/>
        <color rgb="FF1155CC"/>
        <sz val="11.0"/>
        <u/>
      </rPr>
      <t>Bringing Blockchain to Our Community</t>
    </r>
  </si>
  <si>
    <r>
      <rPr>
        <rFont val="Calibri, sans-serif"/>
        <color rgb="FF1155CC"/>
        <sz val="11.0"/>
        <u/>
      </rPr>
      <t>Cardano C Library Course</t>
    </r>
  </si>
  <si>
    <r>
      <rPr>
        <rFont val="Calibri, sans-serif"/>
        <color rgb="FF1155CC"/>
        <sz val="11.0"/>
        <u/>
      </rPr>
      <t>KnightSafe - Onboarding Users as Traders Rulebook</t>
    </r>
  </si>
  <si>
    <r>
      <rPr>
        <rFont val="Calibri, sans-serif"/>
        <color rgb="FF1155CC"/>
        <sz val="11.0"/>
        <u/>
      </rPr>
      <t>Founders Guild: Cardano’s Founder Incubator</t>
    </r>
  </si>
  <si>
    <r>
      <rPr>
        <rFont val="Calibri, sans-serif"/>
        <color rgb="FF1155CC"/>
        <sz val="11.0"/>
        <u/>
      </rPr>
      <t>Cardano Woman Indonesia: Black Parade Campaign</t>
    </r>
  </si>
  <si>
    <r>
      <rPr>
        <rFont val="Calibri, sans-serif"/>
        <color rgb="FF1155CC"/>
        <sz val="11.0"/>
        <u/>
      </rPr>
      <t>Closing the Gender Gap in Cardano Through Survey Research</t>
    </r>
  </si>
  <si>
    <r>
      <rPr>
        <rFont val="Calibri, sans-serif"/>
        <color rgb="FF1155CC"/>
        <sz val="11.0"/>
        <u/>
      </rPr>
      <t>Cardano Community Bounties pilot Program</t>
    </r>
  </si>
  <si>
    <r>
      <rPr>
        <rFont val="Calibri, sans-serif"/>
        <color rgb="FF1155CC"/>
        <sz val="11.0"/>
        <u/>
      </rPr>
      <t>ADA Academy KNUST: Blockchain Education &amp; Rewards Tour</t>
    </r>
  </si>
  <si>
    <r>
      <rPr>
        <rFont val="Calibri, sans-serif"/>
        <color rgb="FF1155CC"/>
        <sz val="11.0"/>
        <u/>
      </rPr>
      <t>Aksum Products – Cardano Media</t>
    </r>
  </si>
  <si>
    <r>
      <rPr>
        <rFont val="Calibri, sans-serif"/>
        <color rgb="FF1155CC"/>
        <sz val="11.0"/>
        <u/>
      </rPr>
      <t>CARDANO WINNER: Learn, Play &amp; Win ADA Crypto!</t>
    </r>
  </si>
  <si>
    <r>
      <rPr>
        <rFont val="Calibri, sans-serif"/>
        <color rgb="FF1155CC"/>
        <sz val="11.0"/>
        <u/>
      </rPr>
      <t>Let’s Token! - Tokenization for a Better World on Cardano</t>
    </r>
  </si>
  <si>
    <r>
      <rPr>
        <rFont val="Calibri, sans-serif"/>
        <color rgb="FF1155CC"/>
        <sz val="11.0"/>
        <u/>
      </rPr>
      <t>Podcast: Cardano LATAM Voices 🎙️🌎🎧✨</t>
    </r>
  </si>
  <si>
    <r>
      <rPr>
        <rFont val="Calibri, sans-serif"/>
        <color rgb="FF1155CC"/>
        <sz val="11.0"/>
        <u/>
      </rPr>
      <t>10,000 Memes, One Voice: Cardano Goes Viral</t>
    </r>
  </si>
  <si>
    <r>
      <rPr>
        <rFont val="Calibri, sans-serif"/>
        <color rgb="FF1155CC"/>
        <sz val="11.0"/>
        <u/>
      </rPr>
      <t>Financial Literacy and Cardano for Disabled and Women</t>
    </r>
  </si>
  <si>
    <r>
      <rPr>
        <rFont val="Calibri, sans-serif"/>
        <color rgb="FF1155CC"/>
        <sz val="11.0"/>
        <u/>
      </rPr>
      <t>Cardano’s Online Presence for Enterprise Sales &amp; BD</t>
    </r>
  </si>
  <si>
    <r>
      <rPr>
        <rFont val="Calibri, sans-serif"/>
        <color rgb="FF1155CC"/>
        <sz val="11.0"/>
        <u/>
      </rPr>
      <t>Cardano Afri-Hub</t>
    </r>
  </si>
  <si>
    <r>
      <rPr>
        <rFont val="Calibri, sans-serif"/>
        <color rgb="FF1155CC"/>
        <sz val="11.0"/>
        <u/>
      </rPr>
      <t>Access to Cardano Made Easy.</t>
    </r>
  </si>
  <si>
    <r>
      <rPr>
        <rFont val="Calibri, sans-serif"/>
        <color rgb="FF1155CC"/>
        <sz val="11.0"/>
        <u/>
      </rPr>
      <t>Cardano Bootcamp: Empowering Ethiopian Teens 18-19</t>
    </r>
  </si>
  <si>
    <r>
      <rPr>
        <rFont val="Calibri, sans-serif"/>
        <color rgb="FF1155CC"/>
        <sz val="11.0"/>
        <u/>
      </rPr>
      <t>Cardano Blockchain Literacy &amp; Adoption Program</t>
    </r>
  </si>
  <si>
    <r>
      <rPr>
        <rFont val="Calibri, sans-serif"/>
        <color rgb="FF1155CC"/>
        <sz val="11.0"/>
        <u/>
      </rPr>
      <t>Cardano Developers Launchpad</t>
    </r>
  </si>
  <si>
    <r>
      <rPr>
        <rFont val="Calibri, sans-serif"/>
        <color rgb="FF1155CC"/>
        <sz val="11.0"/>
        <u/>
      </rPr>
      <t>Young Nola Blockchain Supper Series: Culture.Cardano.Cuisine</t>
    </r>
  </si>
  <si>
    <r>
      <rPr>
        <rFont val="Calibri, sans-serif"/>
        <color rgb="FF1155CC"/>
        <sz val="11.0"/>
        <u/>
      </rPr>
      <t>Ethiopia's First ADA Cafe : Blockchain Adoption Pilot</t>
    </r>
  </si>
  <si>
    <r>
      <rPr>
        <rFont val="Calibri, sans-serif"/>
        <color rgb="FF1155CC"/>
        <sz val="11.0"/>
        <u/>
      </rPr>
      <t>Cardano EcoPools 🌱: Carbon Footprint Mitigation Strategies</t>
    </r>
  </si>
  <si>
    <r>
      <rPr>
        <rFont val="Calibri, sans-serif"/>
        <color rgb="FF1155CC"/>
        <sz val="11.0"/>
        <u/>
      </rPr>
      <t>Empowering Global Cardano Growth with Lean Education</t>
    </r>
  </si>
  <si>
    <r>
      <rPr>
        <rFont val="Calibri, sans-serif"/>
        <color rgb="FF1155CC"/>
        <sz val="11.0"/>
        <u/>
      </rPr>
      <t>Shine up the Ecosystem</t>
    </r>
  </si>
  <si>
    <r>
      <rPr>
        <rFont val="Calibri, sans-serif"/>
        <color rgb="FF1155CC"/>
        <sz val="11.0"/>
        <u/>
      </rPr>
      <t>University Network: Aiken Development Program for LatAm</t>
    </r>
  </si>
  <si>
    <r>
      <rPr>
        <rFont val="Calibri, sans-serif"/>
        <color rgb="FF1155CC"/>
        <sz val="11.0"/>
        <u/>
      </rPr>
      <t>Cardano Blockchain Curriculum in Top Universities in Africa</t>
    </r>
  </si>
  <si>
    <r>
      <rPr>
        <rFont val="Calibri, sans-serif"/>
        <color rgb="FF1155CC"/>
        <sz val="11.0"/>
        <u/>
      </rPr>
      <t>Ascent Rivals - Marketing Gaming Events In-Person &amp; Online</t>
    </r>
  </si>
  <si>
    <r>
      <rPr>
        <rFont val="Calibri, sans-serif"/>
        <color rgb="FF1155CC"/>
        <sz val="11.0"/>
        <u/>
      </rPr>
      <t>Wallet Quest on Cardano - Teambuilding Corporate</t>
    </r>
  </si>
  <si>
    <r>
      <rPr>
        <rFont val="Calibri, sans-serif"/>
        <color rgb="FF1155CC"/>
        <sz val="11.0"/>
        <u/>
      </rPr>
      <t>Cardano x Gen Z: The TikTok Engine for 10,000 New Users</t>
    </r>
  </si>
  <si>
    <r>
      <rPr>
        <rFont val="Calibri, sans-serif"/>
        <color rgb="FF1155CC"/>
        <sz val="11.0"/>
        <u/>
      </rPr>
      <t>Voices of Africa on TikTok</t>
    </r>
  </si>
  <si>
    <r>
      <rPr>
        <rFont val="Calibri, sans-serif"/>
        <color rgb="FF1155CC"/>
        <sz val="11.0"/>
        <u/>
      </rPr>
      <t>AZTECA Summit Second Edition: Innovation &amp; Global Alliances.</t>
    </r>
  </si>
  <si>
    <r>
      <rPr>
        <rFont val="Calibri, sans-serif"/>
        <color rgb="FF1155CC"/>
        <sz val="11.0"/>
        <u/>
      </rPr>
      <t>Cardano Connect: Meetups Across DRC, Uganda &amp; Rwanda</t>
    </r>
  </si>
  <si>
    <r>
      <rPr>
        <rFont val="Calibri, sans-serif"/>
        <color rgb="FF1155CC"/>
        <sz val="11.0"/>
        <u/>
      </rPr>
      <t>Cardano Web3 Education Hub</t>
    </r>
  </si>
  <si>
    <r>
      <rPr>
        <rFont val="Calibri, sans-serif"/>
        <color rgb="FF1155CC"/>
        <sz val="11.0"/>
        <u/>
      </rPr>
      <t>Creating the Blockchain Innovators of Tomorrow</t>
    </r>
  </si>
  <si>
    <r>
      <rPr>
        <rFont val="Calibri, sans-serif"/>
        <color rgb="FF1155CC"/>
        <sz val="11.0"/>
        <u/>
      </rPr>
      <t>3,000 Gen-Z Ambassadors Enrich the Ecosystem</t>
    </r>
  </si>
  <si>
    <r>
      <rPr>
        <rFont val="Calibri, sans-serif"/>
        <color rgb="FF1155CC"/>
        <sz val="11.0"/>
        <u/>
      </rPr>
      <t>Cardano Campus Connect: Blockchain Seminars in Ethiopia</t>
    </r>
  </si>
  <si>
    <r>
      <rPr>
        <rFont val="Calibri, sans-serif"/>
        <color rgb="FF1155CC"/>
        <sz val="11.0"/>
        <u/>
      </rPr>
      <t>EcoRewards: Motivating Plastic Recycling in Accra Schools</t>
    </r>
  </si>
  <si>
    <r>
      <rPr>
        <rFont val="Calibri, sans-serif"/>
        <color rgb="FF1155CC"/>
        <sz val="11.0"/>
        <u/>
      </rPr>
      <t>Building Cardano Campus Clubs in 6 Ghanaian Universities</t>
    </r>
  </si>
  <si>
    <r>
      <rPr>
        <rFont val="Calibri, sans-serif"/>
        <color rgb="FF1155CC"/>
        <sz val="11.0"/>
        <u/>
      </rPr>
      <t>Cardano Africa Boom: TikTok for Blockchain Adoption</t>
    </r>
  </si>
  <si>
    <r>
      <rPr>
        <rFont val="Calibri, sans-serif"/>
        <color rgb="FF1155CC"/>
        <sz val="11.0"/>
        <u/>
      </rPr>
      <t>DeLotus Academy:Cardano Education for High School Innovators</t>
    </r>
  </si>
  <si>
    <r>
      <rPr>
        <rFont val="Calibri, sans-serif"/>
        <color rgb="FF1155CC"/>
        <sz val="11.0"/>
        <u/>
      </rPr>
      <t>Educating Local High School Students in Afar about Cardano</t>
    </r>
  </si>
  <si>
    <r>
      <rPr>
        <rFont val="Calibri, sans-serif"/>
        <color rgb="FF1155CC"/>
        <sz val="11.0"/>
        <u/>
      </rPr>
      <t>Connecting Rural Ghana to Cardano’s Future</t>
    </r>
  </si>
  <si>
    <r>
      <rPr>
        <rFont val="Calibri, sans-serif"/>
        <color rgb="FF1155CC"/>
        <sz val="11.0"/>
        <u/>
      </rPr>
      <t>The Africa ADA Show: A Catalyst YouTube Series</t>
    </r>
  </si>
  <si>
    <r>
      <rPr>
        <rFont val="Calibri, sans-serif"/>
        <color rgb="FF1155CC"/>
        <sz val="11.0"/>
        <u/>
      </rPr>
      <t>Cardano blockchain Literacy &amp; Innovation Program at AMU</t>
    </r>
  </si>
  <si>
    <r>
      <rPr>
        <rFont val="Calibri, sans-serif"/>
        <color rgb="FF1155CC"/>
        <sz val="11.0"/>
        <u/>
      </rPr>
      <t>Cardano Africa: Community Research &amp; Insights</t>
    </r>
  </si>
  <si>
    <r>
      <rPr>
        <rFont val="Calibri, sans-serif"/>
        <color rgb="FF1155CC"/>
        <sz val="11.0"/>
        <u/>
      </rPr>
      <t>2026 African Blockchain Championship - Cardano</t>
    </r>
  </si>
  <si>
    <r>
      <rPr>
        <rFont val="Calibri, sans-serif"/>
        <color rgb="FF1155CC"/>
        <sz val="11.0"/>
        <u/>
      </rPr>
      <t>Cardano Unlocked: Trilingual Primer — ENG / JPN / VI</t>
    </r>
  </si>
  <si>
    <r>
      <rPr>
        <rFont val="Calibri, sans-serif"/>
        <color rgb="FF1155CC"/>
        <sz val="11.0"/>
        <u/>
      </rPr>
      <t>Cardano Ghana Community Hub and Legal Registration</t>
    </r>
  </si>
  <si>
    <r>
      <rPr>
        <rFont val="Calibri, sans-serif"/>
        <color rgb="FF1155CC"/>
        <sz val="11.0"/>
        <u/>
      </rPr>
      <t>Bookster (1.2M+ Installs): 4 Cardano Challenges + Audiobook</t>
    </r>
  </si>
  <si>
    <r>
      <rPr>
        <rFont val="Calibri, sans-serif"/>
        <color rgb="FF1155CC"/>
        <sz val="11.0"/>
        <u/>
      </rPr>
      <t>CARDANO web3 literacy tour</t>
    </r>
  </si>
  <si>
    <r>
      <rPr>
        <rFont val="Calibri, sans-serif"/>
        <color rgb="FF1155CC"/>
        <sz val="11.0"/>
        <u/>
      </rPr>
      <t>Cardonald | The Meme Brand Account for Cardano</t>
    </r>
  </si>
  <si>
    <r>
      <rPr>
        <rFont val="Calibri, sans-serif"/>
        <color rgb="FF1155CC"/>
        <sz val="11.0"/>
        <u/>
      </rPr>
      <t>HERADA: Cardano-Powered Incubator for Women-Led Startups</t>
    </r>
  </si>
  <si>
    <r>
      <rPr>
        <rFont val="Calibri, sans-serif"/>
        <color rgb="FF1155CC"/>
        <sz val="11.0"/>
        <u/>
      </rPr>
      <t>Project "Cardano Clarity"</t>
    </r>
  </si>
  <si>
    <r>
      <rPr>
        <rFont val="Calibri, sans-serif"/>
        <color rgb="FF1155CC"/>
        <sz val="11.0"/>
        <u/>
      </rPr>
      <t>Empowering Ethiopia with Cardano: Engaging Video Education</t>
    </r>
  </si>
  <si>
    <r>
      <rPr>
        <rFont val="Calibri, sans-serif"/>
        <color rgb="FF1155CC"/>
        <sz val="11.0"/>
        <u/>
      </rPr>
      <t>Gerocardan: Video Translation for Community Education</t>
    </r>
  </si>
  <si>
    <r>
      <rPr>
        <rFont val="Calibri, sans-serif"/>
        <color rgb="FF1155CC"/>
        <sz val="11.0"/>
        <u/>
      </rPr>
      <t>Growing Cardano Ecosystem via Offline digital Library server</t>
    </r>
  </si>
  <si>
    <r>
      <rPr>
        <rFont val="Calibri, sans-serif"/>
        <color rgb="FF1155CC"/>
        <sz val="11.0"/>
        <u/>
      </rPr>
      <t>Cardano Learning Hubs in Public Libraries</t>
    </r>
  </si>
  <si>
    <r>
      <rPr>
        <rFont val="Calibri, sans-serif"/>
        <color rgb="FF1155CC"/>
        <sz val="11.0"/>
        <u/>
      </rPr>
      <t>IDEATHON for Cardano based projects by Hosken Academy</t>
    </r>
  </si>
  <si>
    <r>
      <rPr>
        <rFont val="Calibri, sans-serif"/>
        <color rgb="FF1155CC"/>
        <sz val="11.0"/>
        <u/>
      </rPr>
      <t>Green Future: Youth Gardening &amp; Cardano Education</t>
    </r>
  </si>
  <si>
    <r>
      <rPr>
        <rFont val="Calibri, sans-serif"/>
        <color rgb="FF1155CC"/>
        <sz val="11.0"/>
        <u/>
      </rPr>
      <t>University Workshops for Making Payments with Cardano</t>
    </r>
  </si>
  <si>
    <r>
      <rPr>
        <rFont val="Calibri, sans-serif"/>
        <color rgb="FF1155CC"/>
        <sz val="11.0"/>
        <u/>
      </rPr>
      <t>Cardano for Erasmus Students Awareness Campaign</t>
    </r>
  </si>
  <si>
    <r>
      <rPr>
        <rFont val="Calibri, sans-serif"/>
        <color rgb="FF1155CC"/>
        <sz val="11.0"/>
        <u/>
      </rPr>
      <t>Innotion Labs - South America Edition</t>
    </r>
  </si>
  <si>
    <r>
      <rPr>
        <rFont val="Calibri, sans-serif"/>
        <color rgb="FF1155CC"/>
        <sz val="11.0"/>
        <u/>
      </rPr>
      <t>Cardano and Blockchain for East African Farmers</t>
    </r>
  </si>
  <si>
    <r>
      <rPr>
        <rFont val="Calibri, sans-serif"/>
        <color rgb="FF1155CC"/>
        <sz val="11.0"/>
        <u/>
      </rPr>
      <t>DeSci Cardano Symposium</t>
    </r>
  </si>
  <si>
    <r>
      <rPr>
        <rFont val="Calibri, sans-serif"/>
        <color rgb="FF1155CC"/>
        <sz val="11.0"/>
        <u/>
      </rPr>
      <t>Cardano Africa Developer Bootcamp And Hackathon Program</t>
    </r>
  </si>
  <si>
    <r>
      <rPr>
        <rFont val="Calibri, sans-serif"/>
        <color rgb="FF1155CC"/>
        <sz val="11.0"/>
        <u/>
      </rPr>
      <t>Cardano New World Leaders: for Decision Makers</t>
    </r>
  </si>
  <si>
    <r>
      <rPr>
        <rFont val="Calibri, sans-serif"/>
        <color rgb="FF1155CC"/>
        <sz val="11.0"/>
        <u/>
      </rPr>
      <t>Cardano Savoirs Afrique</t>
    </r>
  </si>
  <si>
    <r>
      <rPr>
        <rFont val="Calibri, sans-serif"/>
        <color rgb="FF1155CC"/>
        <sz val="11.0"/>
        <u/>
      </rPr>
      <t>[CaFiNet] Cardano Unveiled: The Mindmap Journey</t>
    </r>
  </si>
  <si>
    <r>
      <rPr>
        <rFont val="Calibri, sans-serif"/>
        <color rgb="FF1155CC"/>
        <sz val="11.0"/>
        <u/>
      </rPr>
      <t>ChainTales: Cardano Comics &amp; YouTube in Amharic &amp; English</t>
    </r>
  </si>
  <si>
    <r>
      <rPr>
        <rFont val="Calibri, sans-serif"/>
        <color rgb="FF1155CC"/>
        <sz val="11.0"/>
        <u/>
      </rPr>
      <t>Cardano Startup Intelligence Program - STORM Partners</t>
    </r>
  </si>
  <si>
    <r>
      <rPr>
        <rFont val="Calibri, sans-serif"/>
        <color rgb="FF1155CC"/>
        <sz val="11.0"/>
        <u/>
      </rPr>
      <t>Aya - Decentralized Ecosystem For African female Athletes</t>
    </r>
  </si>
  <si>
    <r>
      <rPr>
        <rFont val="Calibri, sans-serif"/>
        <color rgb="FF1155CC"/>
        <sz val="11.0"/>
        <u/>
      </rPr>
      <t>[5PC] Cardano Education Short video Viral</t>
    </r>
  </si>
  <si>
    <r>
      <rPr>
        <rFont val="Calibri, sans-serif"/>
        <color rgb="FF1155CC"/>
        <sz val="11.0"/>
        <u/>
      </rPr>
      <t>Women’s Blockchain Hackathon Ecuador</t>
    </r>
  </si>
  <si>
    <r>
      <rPr>
        <rFont val="Calibri, sans-serif"/>
        <color rgb="FF1155CC"/>
        <sz val="11.0"/>
        <u/>
      </rPr>
      <t>Cardano Memecoin Community Event</t>
    </r>
  </si>
  <si>
    <r>
      <rPr>
        <rFont val="Calibri, sans-serif"/>
        <color rgb="FF1155CC"/>
        <sz val="11.0"/>
        <u/>
      </rPr>
      <t>Cardano Women Ambassadors: Ethiopia’s 500 Digital Marketers</t>
    </r>
  </si>
  <si>
    <r>
      <rPr>
        <rFont val="Calibri, sans-serif"/>
        <color rgb="FF1155CC"/>
        <sz val="11.0"/>
        <u/>
      </rPr>
      <t>Cardano InfoDesk – Bringing Blockchain to the Streets</t>
    </r>
  </si>
  <si>
    <r>
      <rPr>
        <rFont val="Calibri, sans-serif"/>
        <color rgb="FF1155CC"/>
        <sz val="11.0"/>
        <u/>
      </rPr>
      <t>Build on Cardano: DeSci Amplified + Aiken&amp;Tx3 Bootcamp</t>
    </r>
  </si>
  <si>
    <r>
      <rPr>
        <rFont val="Calibri, sans-serif"/>
        <color rgb="FF1155CC"/>
        <sz val="11.0"/>
        <u/>
      </rPr>
      <t>The dRep Hour Africa: Podcast by African dReps Proposal</t>
    </r>
  </si>
  <si>
    <r>
      <rPr>
        <rFont val="Calibri, sans-serif"/>
        <color rgb="FF1155CC"/>
        <sz val="11.0"/>
        <u/>
      </rPr>
      <t>Cardano kids Academy</t>
    </r>
  </si>
  <si>
    <r>
      <rPr>
        <rFont val="Calibri, sans-serif"/>
        <color rgb="FF1155CC"/>
        <sz val="11.0"/>
        <u/>
      </rPr>
      <t>Cardano Governance Indonesia Education</t>
    </r>
  </si>
  <si>
    <r>
      <rPr>
        <rFont val="Calibri, sans-serif"/>
        <color rgb="FF1155CC"/>
        <sz val="11.0"/>
        <u/>
      </rPr>
      <t>[CaFiNet] Discover Cardano dApps: A Journey of Exploration</t>
    </r>
  </si>
  <si>
    <r>
      <rPr>
        <rFont val="Calibri, sans-serif"/>
        <color rgb="FF1155CC"/>
        <sz val="11.0"/>
        <u/>
      </rPr>
      <t>IncuBuild House India: Building Sustainable Cardano Projects</t>
    </r>
  </si>
  <si>
    <r>
      <rPr>
        <rFont val="Calibri, sans-serif"/>
        <color rgb="FF1155CC"/>
        <sz val="11.0"/>
        <u/>
      </rPr>
      <t>Cardano Bites</t>
    </r>
  </si>
  <si>
    <r>
      <rPr>
        <rFont val="Calibri, sans-serif"/>
        <color rgb="FF1155CC"/>
        <sz val="11.0"/>
        <u/>
      </rPr>
      <t>Cardano IdeaFest Ecuador</t>
    </r>
  </si>
  <si>
    <r>
      <rPr>
        <rFont val="Calibri, sans-serif"/>
        <color rgb="FF1155CC"/>
        <sz val="11.0"/>
        <u/>
      </rPr>
      <t>KNOW CARDANO: A Campus Campaign</t>
    </r>
  </si>
  <si>
    <r>
      <rPr>
        <rFont val="Calibri, sans-serif"/>
        <color rgb="FF1155CC"/>
        <sz val="11.0"/>
        <u/>
      </rPr>
      <t>Telegram</t>
    </r>
  </si>
  <si>
    <r>
      <rPr>
        <rFont val="Calibri, sans-serif"/>
        <color rgb="FF1155CC"/>
        <sz val="11.0"/>
        <u/>
      </rPr>
      <t>The Cardano Knowledge Ark</t>
    </r>
  </si>
  <si>
    <r>
      <rPr>
        <rFont val="Calibri, sans-serif"/>
        <color rgb="FF1155CC"/>
        <sz val="11.0"/>
        <u/>
      </rPr>
      <t>Product Compass: A Project Manager's Best Friend</t>
    </r>
  </si>
  <si>
    <r>
      <rPr>
        <rFont val="Calibri, sans-serif"/>
        <color rgb="FF1155CC"/>
        <sz val="11.0"/>
        <u/>
      </rPr>
      <t>ADA for the People: Cardano Awareness in Ethiopia</t>
    </r>
  </si>
  <si>
    <r>
      <rPr>
        <rFont val="Calibri, sans-serif"/>
        <color rgb="FF1155CC"/>
        <sz val="11.0"/>
        <u/>
      </rPr>
      <t>AfroChain 2025 – Unlocking Africas Onchain Future</t>
    </r>
  </si>
  <si>
    <r>
      <rPr>
        <rFont val="Calibri, sans-serif"/>
        <color rgb="FF1155CC"/>
        <sz val="11.0"/>
        <u/>
      </rPr>
      <t>Legal Compliance Toolkit &amp; Training for Ethiopian Cardano</t>
    </r>
  </si>
  <si>
    <r>
      <rPr>
        <rFont val="Calibri, sans-serif"/>
        <color rgb="FF1155CC"/>
        <sz val="11.0"/>
        <u/>
      </rPr>
      <t>CARDANO SKILLS ACADEMY IN GHANA</t>
    </r>
  </si>
  <si>
    <r>
      <rPr>
        <rFont val="Calibri, sans-serif"/>
        <color rgb="FF1155CC"/>
        <sz val="11.0"/>
        <u/>
      </rPr>
      <t>Drill &amp; Deploy: Military-Style Gamified Onboarding Bootcamp</t>
    </r>
  </si>
  <si>
    <r>
      <rPr>
        <rFont val="Calibri, sans-serif"/>
        <color rgb="FF1155CC"/>
        <sz val="11.0"/>
        <u/>
      </rPr>
      <t>Rebuilding Lives on Chain: Cardano for Tigray Recovery</t>
    </r>
  </si>
  <si>
    <r>
      <rPr>
        <rFont val="Calibri, sans-serif"/>
        <color rgb="FF1155CC"/>
        <sz val="11.0"/>
        <u/>
      </rPr>
      <t>Cardano Ethiopia: Language &amp; Compliance Access</t>
    </r>
  </si>
  <si>
    <r>
      <rPr>
        <rFont val="Calibri, sans-serif"/>
        <color rgb="FF1155CC"/>
        <sz val="11.0"/>
        <u/>
      </rPr>
      <t>Cardano Community Hub &amp; Education Initiative in Ethiopia</t>
    </r>
  </si>
  <si>
    <r>
      <rPr>
        <rFont val="Calibri, sans-serif"/>
        <color rgb="FF1155CC"/>
        <sz val="11.0"/>
        <u/>
      </rPr>
      <t>Cardano Youth Lab: From Classroom to Blockchain</t>
    </r>
  </si>
  <si>
    <r>
      <rPr>
        <rFont val="Calibri, sans-serif"/>
        <color rgb="FF1155CC"/>
        <sz val="11.0"/>
        <u/>
      </rPr>
      <t>AMA with Cross-Chain Communities II</t>
    </r>
  </si>
  <si>
    <r>
      <rPr>
        <rFont val="Calibri, sans-serif"/>
        <color rgb="FF1155CC"/>
        <sz val="11.0"/>
        <u/>
      </rPr>
      <t>Travel and Vacation Insurance</t>
    </r>
  </si>
  <si>
    <r>
      <rPr>
        <rFont val="Calibri, sans-serif"/>
        <color rgb="FF1155CC"/>
        <sz val="11.0"/>
        <u/>
      </rPr>
      <t>Cardano Amharic/Swahili Ed: End Exclusion for 85M|Est Africa</t>
    </r>
  </si>
  <si>
    <r>
      <rPr>
        <rFont val="Calibri, sans-serif"/>
        <color rgb="FF1155CC"/>
        <sz val="11.0"/>
        <u/>
      </rPr>
      <t>Cardano Institutional and Enterprise Onboarding: 2025-2026</t>
    </r>
  </si>
  <si>
    <r>
      <rPr>
        <rFont val="Calibri, sans-serif"/>
        <color rgb="FF1155CC"/>
        <sz val="11.0"/>
        <u/>
      </rPr>
      <t>Chain Hub: Africa’s First Web3 Culture Incubator for Cardano</t>
    </r>
  </si>
  <si>
    <r>
      <rPr>
        <rFont val="Calibri, sans-serif"/>
        <color rgb="FF1155CC"/>
        <sz val="11.0"/>
        <u/>
      </rPr>
      <t>Cardano Innovators Club</t>
    </r>
  </si>
  <si>
    <r>
      <rPr>
        <rFont val="Calibri, sans-serif"/>
        <color rgb="FF1155CC"/>
        <sz val="11.0"/>
        <u/>
      </rPr>
      <t>Sova Bars: ADA Bill Payment 50% Off in 3 Major Cities in VN</t>
    </r>
  </si>
  <si>
    <r>
      <rPr>
        <rFont val="Calibri, sans-serif"/>
        <color rgb="FF1155CC"/>
        <sz val="11.0"/>
        <u/>
      </rPr>
      <t>Cardano User Security: Cybersecurity &amp; Crypto Safety Guide</t>
    </r>
  </si>
  <si>
    <r>
      <rPr>
        <rFont val="Calibri, sans-serif"/>
        <color rgb="FF1155CC"/>
        <sz val="11.0"/>
        <u/>
      </rPr>
      <t>Women of Web3: Cardano Empowerment Program</t>
    </r>
  </si>
  <si>
    <r>
      <rPr>
        <rFont val="Calibri, sans-serif"/>
        <color rgb="FF1155CC"/>
        <sz val="11.0"/>
        <u/>
      </rPr>
      <t>Blockchain x Luxury Innovation Labs (Academic Program)</t>
    </r>
  </si>
  <si>
    <r>
      <rPr>
        <rFont val="Calibri, sans-serif"/>
        <color rgb="FF1155CC"/>
        <sz val="11.0"/>
        <u/>
      </rPr>
      <t>Breaking the Language Barrier for Ethiopian Youth</t>
    </r>
  </si>
  <si>
    <r>
      <rPr>
        <rFont val="Calibri, sans-serif"/>
        <color rgb="FF1155CC"/>
        <sz val="11.0"/>
        <u/>
      </rPr>
      <t>Cardano Top 3 Ethiopian Universities Festival</t>
    </r>
  </si>
  <si>
    <r>
      <rPr>
        <rFont val="Calibri, sans-serif"/>
        <color rgb="FF1155CC"/>
        <sz val="11.0"/>
        <u/>
      </rPr>
      <t>1-Minute Cardano Clips: Quick, Simple, Local</t>
    </r>
  </si>
  <si>
    <r>
      <rPr>
        <rFont val="Calibri, sans-serif"/>
        <color rgb="FF1155CC"/>
        <sz val="11.0"/>
        <u/>
      </rPr>
      <t>The State of BD in the Cardano Ecosystem</t>
    </r>
  </si>
  <si>
    <r>
      <rPr>
        <rFont val="Calibri, sans-serif"/>
        <color rgb="FF1155CC"/>
        <sz val="11.0"/>
        <u/>
      </rPr>
      <t>dRep of Africa: Local Profile Hub and Delegator Guide</t>
    </r>
  </si>
  <si>
    <r>
      <rPr>
        <rFont val="Calibri, sans-serif"/>
        <color rgb="FF1155CC"/>
        <sz val="11.0"/>
        <u/>
      </rPr>
      <t>Unlocking Blockchain Potential:Youth Engagement in Ethiopia</t>
    </r>
  </si>
  <si>
    <r>
      <rPr>
        <rFont val="Calibri, sans-serif"/>
        <color rgb="FF1155CC"/>
        <sz val="11.0"/>
        <u/>
      </rPr>
      <t>Ethiopia Cardano Campus Tour: Blockchain for Students</t>
    </r>
  </si>
  <si>
    <r>
      <rPr>
        <rFont val="Calibri, sans-serif"/>
        <color rgb="FF1155CC"/>
        <sz val="11.0"/>
        <u/>
      </rPr>
      <t>Cardano Rise: Ethiopia Pilot Festivals</t>
    </r>
  </si>
  <si>
    <r>
      <rPr>
        <rFont val="Calibri, sans-serif"/>
        <color rgb="FF1155CC"/>
        <sz val="11.0"/>
        <u/>
      </rPr>
      <t>NextChain – Empowering 10,000 Youth &amp; Startups into Web3</t>
    </r>
  </si>
  <si>
    <r>
      <rPr>
        <rFont val="Calibri, sans-serif"/>
        <color rgb="FF1155CC"/>
        <sz val="11.0"/>
        <u/>
      </rPr>
      <t>A safari on Cardano - Teambuilding Corporate</t>
    </r>
  </si>
  <si>
    <r>
      <rPr>
        <rFont val="Calibri, sans-serif"/>
        <color rgb="FF1155CC"/>
        <sz val="11.0"/>
        <u/>
      </rPr>
      <t>CARDANO BLOCKCHAIN EDUCATION FOR TAMALE TECHNICAL UNIVERSITY</t>
    </r>
  </si>
  <si>
    <r>
      <rPr>
        <rFont val="Calibri, sans-serif"/>
        <color rgb="FF1155CC"/>
        <sz val="11.0"/>
        <u/>
      </rPr>
      <t>Libertarian Times – A Global Voice for Freedom</t>
    </r>
  </si>
  <si>
    <r>
      <rPr>
        <rFont val="Calibri, sans-serif"/>
        <color rgb="FF1155CC"/>
        <sz val="11.0"/>
        <u/>
      </rPr>
      <t>BandungCommunity Empowerment:WomanVenture Capital-LocalGrant</t>
    </r>
  </si>
  <si>
    <r>
      <rPr>
        <rFont val="Calibri, sans-serif"/>
        <color rgb="FF1155CC"/>
        <sz val="11.0"/>
        <u/>
      </rPr>
      <t>Cardano Learn &amp; Earn: interactive quizzes and tutorials.</t>
    </r>
  </si>
  <si>
    <r>
      <rPr>
        <rFont val="Calibri, sans-serif"/>
        <color rgb="FF1155CC"/>
        <sz val="11.0"/>
        <u/>
      </rPr>
      <t>Cardano Ethiopia High School Hub – Blockchain Awareness</t>
    </r>
  </si>
  <si>
    <r>
      <rPr>
        <rFont val="Calibri, sans-serif"/>
        <color rgb="FF1155CC"/>
        <sz val="11.0"/>
        <u/>
      </rPr>
      <t>FarmChain:SMS-Based Cardano Education for Smallholder Farmer</t>
    </r>
  </si>
  <si>
    <r>
      <rPr>
        <rFont val="Calibri, sans-serif"/>
        <color rgb="FF1155CC"/>
        <sz val="11.0"/>
        <u/>
      </rPr>
      <t>Gerocardan: Blog Posts and X Content for Community Education</t>
    </r>
  </si>
  <si>
    <r>
      <rPr>
        <rFont val="Calibri, sans-serif"/>
        <color rgb="FF1155CC"/>
        <sz val="11.0"/>
        <u/>
      </rPr>
      <t>Legal Readiness Bootcamp for Cardano Founders</t>
    </r>
  </si>
  <si>
    <r>
      <rPr>
        <rFont val="Calibri, sans-serif"/>
        <color rgb="FF1155CC"/>
        <sz val="11.0"/>
        <u/>
      </rPr>
      <t>Animated Character for Enhanced Brand Recognition.</t>
    </r>
  </si>
  <si>
    <r>
      <rPr>
        <rFont val="Calibri, sans-serif"/>
        <color rgb="FF1155CC"/>
        <sz val="11.0"/>
        <u/>
      </rPr>
      <t>Establishing Cardano Community Hub in SouthEast Nigeria</t>
    </r>
  </si>
  <si>
    <r>
      <rPr>
        <rFont val="Calibri, sans-serif"/>
        <color rgb="FF1155CC"/>
        <sz val="11.0"/>
        <u/>
      </rPr>
      <t>Cardano Children's Books in Amharic &amp; Oromifa</t>
    </r>
  </si>
  <si>
    <r>
      <rPr>
        <rFont val="Calibri, sans-serif"/>
        <color rgb="FF1155CC"/>
        <sz val="11.0"/>
        <u/>
      </rPr>
      <t>Cardano Local Heroes: Adoption Through Trusted Leaders</t>
    </r>
  </si>
  <si>
    <r>
      <rPr>
        <rFont val="Calibri, sans-serif"/>
        <color rgb="FF1155CC"/>
        <sz val="11.0"/>
        <u/>
      </rPr>
      <t>Cardano Africa Bootcamp: Enabling Africans build on Cardano</t>
    </r>
  </si>
  <si>
    <r>
      <rPr>
        <rFont val="Calibri, sans-serif"/>
        <color rgb="FF1155CC"/>
        <sz val="11.0"/>
        <u/>
      </rPr>
      <t>Cardano Education for Hawassa University</t>
    </r>
  </si>
  <si>
    <r>
      <rPr>
        <rFont val="Calibri, sans-serif"/>
        <color rgb="FF1155CC"/>
        <sz val="11.0"/>
        <u/>
      </rPr>
      <t>Cardano T-Shirts for Orphan Blockchain Education in Ethiopia</t>
    </r>
  </si>
  <si>
    <r>
      <rPr>
        <rFont val="Calibri, sans-serif"/>
        <color rgb="FF1155CC"/>
        <sz val="11.0"/>
        <u/>
      </rPr>
      <t>Beyond the Chain: Opening Africa’s doors to Cardano</t>
    </r>
  </si>
  <si>
    <r>
      <rPr>
        <rFont val="Calibri, sans-serif"/>
        <color rgb="FF1155CC"/>
        <sz val="11.0"/>
        <u/>
      </rPr>
      <t>ሰላም Cardano: Cardano’s Official Voice of the Nation</t>
    </r>
  </si>
  <si>
    <r>
      <rPr>
        <rFont val="Calibri, sans-serif"/>
        <color rgb="FF1155CC"/>
        <sz val="11.0"/>
        <u/>
      </rPr>
      <t>Empowering TVET Students with Cardano Skills</t>
    </r>
  </si>
  <si>
    <r>
      <rPr>
        <rFont val="Calibri, sans-serif"/>
        <color rgb="FF1155CC"/>
        <sz val="11.0"/>
        <u/>
      </rPr>
      <t>Cardano Catalyst East Africa Project Tracker</t>
    </r>
  </si>
  <si>
    <r>
      <rPr>
        <rFont val="Calibri, sans-serif"/>
        <color rgb="FF1155CC"/>
        <sz val="11.0"/>
        <u/>
      </rPr>
      <t>CARDANO YOUTH CLUBS BUILDING THE NEXT GENERATION</t>
    </r>
  </si>
  <si>
    <r>
      <rPr>
        <rFont val="Calibri, sans-serif"/>
        <color rgb="FF1155CC"/>
        <sz val="11.0"/>
        <u/>
      </rPr>
      <t>Empowering Hawassa: A Cardano Blockchain Innovation Hub</t>
    </r>
  </si>
  <si>
    <r>
      <rPr>
        <rFont val="Calibri, sans-serif"/>
        <color rgb="FF1155CC"/>
        <sz val="11.0"/>
        <u/>
      </rPr>
      <t>Cardano Africa Onboarding Sprint</t>
    </r>
  </si>
  <si>
    <r>
      <rPr>
        <rFont val="Calibri, sans-serif"/>
        <color rgb="FF1155CC"/>
        <sz val="11.0"/>
        <u/>
      </rPr>
      <t>Cardano Stonerz Club</t>
    </r>
  </si>
  <si>
    <r>
      <rPr>
        <rFont val="Calibri, sans-serif"/>
        <color rgb="FF1155CC"/>
        <sz val="11.0"/>
        <u/>
      </rPr>
      <t>Hope Bridge: Connecting Ethiopian Investors to Cardano</t>
    </r>
  </si>
  <si>
    <r>
      <rPr>
        <rFont val="Calibri, sans-serif"/>
        <color rgb="FF1155CC"/>
        <sz val="11.0"/>
        <u/>
      </rPr>
      <t>Cardano &amp; Cho</t>
    </r>
  </si>
  <si>
    <r>
      <rPr>
        <rFont val="Calibri, sans-serif"/>
        <color rgb="FF1155CC"/>
        <sz val="11.0"/>
        <u/>
      </rPr>
      <t>From Birr to Blockchain: Ethiopia’s Investor to Cardano</t>
    </r>
  </si>
  <si>
    <r>
      <rPr>
        <rFont val="Calibri, sans-serif"/>
        <color rgb="FF1155CC"/>
        <sz val="11.0"/>
        <u/>
      </rPr>
      <t>Cardano in Afan Oromo – Learn, Build, Govern</t>
    </r>
  </si>
  <si>
    <r>
      <rPr>
        <rFont val="Calibri, sans-serif"/>
        <color rgb="FF1155CC"/>
        <sz val="11.0"/>
        <u/>
      </rPr>
      <t>Harmonizing with Cardano: A Musical Exploration</t>
    </r>
  </si>
  <si>
    <r>
      <rPr>
        <rFont val="Calibri, sans-serif"/>
        <color rgb="FF1155CC"/>
        <sz val="11.0"/>
        <u/>
      </rPr>
      <t>Cardano Cracks - A Podcast of Cardano</t>
    </r>
  </si>
  <si>
    <r>
      <rPr>
        <rFont val="Calibri, sans-serif"/>
        <color rgb="FF1155CC"/>
        <sz val="11.0"/>
        <u/>
      </rPr>
      <t>Publishing Cardano Knowledge in Africa’s 10 Key Tongues</t>
    </r>
  </si>
  <si>
    <r>
      <rPr>
        <rFont val="Calibri, sans-serif"/>
        <color rgb="FF1155CC"/>
        <sz val="11.0"/>
        <u/>
      </rPr>
      <t>Cardano Community Hackathon</t>
    </r>
  </si>
  <si>
    <r>
      <rPr>
        <rFont val="Calibri, sans-serif"/>
        <color rgb="FF1155CC"/>
        <sz val="11.0"/>
        <u/>
      </rPr>
      <t>Building a Cardano Hyperteam Vietnam in Hanoi</t>
    </r>
  </si>
  <si>
    <r>
      <rPr>
        <rFont val="Calibri, sans-serif"/>
        <color rgb="FF1155CC"/>
        <sz val="11.0"/>
        <u/>
      </rPr>
      <t>Cardano Cup</t>
    </r>
  </si>
  <si>
    <r>
      <rPr>
        <rFont val="Calibri, sans-serif"/>
        <color rgb="FF1155CC"/>
        <sz val="11.0"/>
        <u/>
      </rPr>
      <t>Empowering Women in Blockchain</t>
    </r>
  </si>
  <si>
    <r>
      <rPr>
        <rFont val="Calibri, sans-serif"/>
        <color rgb="FF1155CC"/>
        <sz val="11.0"/>
        <u/>
      </rPr>
      <t>Cardano Localization &amp; Language Access</t>
    </r>
  </si>
  <si>
    <r>
      <rPr>
        <rFont val="Calibri, sans-serif"/>
        <color rgb="FF1155CC"/>
        <sz val="11.0"/>
        <u/>
      </rPr>
      <t>MAÍZ | Growing Cardano Use-Cases in LatAm</t>
    </r>
  </si>
  <si>
    <r>
      <rPr>
        <rFont val="Calibri, sans-serif"/>
        <color rgb="FF1155CC"/>
        <sz val="11.0"/>
        <u/>
      </rPr>
      <t>Block by Block: She Builds</t>
    </r>
  </si>
  <si>
    <r>
      <rPr>
        <rFont val="Calibri, sans-serif"/>
        <color rgb="FF1155CC"/>
        <sz val="11.0"/>
        <u/>
      </rPr>
      <t>Cardano Connect SMS – Blockchain Education at Scale</t>
    </r>
  </si>
  <si>
    <r>
      <rPr>
        <rFont val="Calibri, sans-serif"/>
        <color rgb="FF1155CC"/>
        <sz val="11.0"/>
        <u/>
      </rPr>
      <t>Expanding Lovelace Academy’s Reach to More Devs on Instagram</t>
    </r>
  </si>
  <si>
    <r>
      <rPr>
        <rFont val="Calibri, sans-serif"/>
        <color rgb="FF1155CC"/>
        <sz val="11.0"/>
        <u/>
      </rPr>
      <t>Scaling Cardano Innovation - BlockPrint Developers Community</t>
    </r>
  </si>
  <si>
    <r>
      <rPr>
        <rFont val="Calibri, sans-serif"/>
        <color rgb="FF1155CC"/>
        <sz val="11.0"/>
        <u/>
      </rPr>
      <t>Cardano Podcast: Impact Stories of Funded Projects</t>
    </r>
  </si>
  <si>
    <r>
      <rPr>
        <rFont val="Calibri, sans-serif"/>
        <color rgb="FF1155CC"/>
        <sz val="11.0"/>
        <u/>
      </rPr>
      <t>Run for Cardano: Addis Ababa 10KM Challenge!</t>
    </r>
  </si>
  <si>
    <r>
      <rPr>
        <rFont val="Calibri, sans-serif"/>
        <color rgb="FF1155CC"/>
        <sz val="11.0"/>
        <u/>
      </rPr>
      <t>Empowering High Schoolers to Lead in Cardano</t>
    </r>
  </si>
  <si>
    <r>
      <rPr>
        <rFont val="Calibri, sans-serif"/>
        <color rgb="FF1155CC"/>
        <sz val="11.0"/>
        <u/>
      </rPr>
      <t>Cardano Blockchain Day: Perú – 1st Edition</t>
    </r>
  </si>
  <si>
    <r>
      <rPr>
        <rFont val="Calibri, sans-serif"/>
        <color rgb="FF1155CC"/>
        <sz val="11.0"/>
        <u/>
      </rPr>
      <t>CARDANO EXPLAINER SERIES – GHANAIAN EDITION</t>
    </r>
  </si>
  <si>
    <r>
      <rPr>
        <rFont val="Calibri, sans-serif"/>
        <color rgb="FF1155CC"/>
        <sz val="11.0"/>
        <u/>
      </rPr>
      <t>SW Florida Community Outreach</t>
    </r>
  </si>
  <si>
    <r>
      <rPr>
        <rFont val="Calibri, sans-serif"/>
        <color rgb="FF1155CC"/>
        <sz val="11.0"/>
        <u/>
      </rPr>
      <t>CardanoChronicle: An Interactive Timeline of Cardano History</t>
    </r>
  </si>
  <si>
    <r>
      <rPr>
        <rFont val="Calibri, sans-serif"/>
        <color rgb="FF1155CC"/>
        <sz val="11.0"/>
        <u/>
      </rPr>
      <t>AI Video : Engage Cardanos Global Community in EN | JP |ES|</t>
    </r>
  </si>
  <si>
    <r>
      <rPr>
        <rFont val="Calibri, sans-serif"/>
        <color rgb="FF1155CC"/>
        <sz val="11.0"/>
        <u/>
      </rPr>
      <t>[CaFiNet] Workflow Creating Hundreds Multi-Platform Videos</t>
    </r>
  </si>
  <si>
    <r>
      <rPr>
        <rFont val="Calibri, sans-serif"/>
        <color rgb="FF1155CC"/>
        <sz val="11.0"/>
        <u/>
      </rPr>
      <t>Printable Cardano Wallet Setup Sheet</t>
    </r>
  </si>
  <si>
    <r>
      <rPr>
        <rFont val="Calibri, sans-serif"/>
        <color rgb="FF1155CC"/>
        <sz val="11.0"/>
        <u/>
      </rPr>
      <t>Empowering Ghanaian Youths through Cardano Blockchain 2.0</t>
    </r>
  </si>
  <si>
    <r>
      <rPr>
        <rFont val="Calibri, sans-serif"/>
        <color rgb="FF1155CC"/>
        <sz val="11.0"/>
        <u/>
      </rPr>
      <t>Voices of Cardano Africa</t>
    </r>
  </si>
  <si>
    <r>
      <rPr>
        <rFont val="Calibri, sans-serif"/>
        <color rgb="FF1155CC"/>
        <sz val="11.0"/>
        <u/>
      </rPr>
      <t>Cardano City Tour: Driving Local Blockchain Awareness</t>
    </r>
  </si>
  <si>
    <r>
      <rPr>
        <rFont val="Calibri, sans-serif"/>
        <color rgb="FF1155CC"/>
        <sz val="11.0"/>
        <u/>
      </rPr>
      <t>A Cardano Hub in Nyiragongo for an Underserved Region</t>
    </r>
  </si>
  <si>
    <r>
      <rPr>
        <rFont val="Calibri, sans-serif"/>
        <color rgb="FF1155CC"/>
        <sz val="11.0"/>
        <u/>
      </rPr>
      <t>Cardano Rise Program 2025</t>
    </r>
  </si>
  <si>
    <r>
      <rPr>
        <rFont val="Calibri, sans-serif"/>
        <color rgb="FF1155CC"/>
        <sz val="11.0"/>
        <u/>
      </rPr>
      <t>Interactive Lessons for Grassroots Onboarding</t>
    </r>
  </si>
  <si>
    <r>
      <rPr>
        <rFont val="Calibri, sans-serif"/>
        <color rgb="FF1155CC"/>
        <sz val="11.0"/>
        <u/>
      </rPr>
      <t>YouTube Channel for the Oromo-speaking Community</t>
    </r>
  </si>
  <si>
    <r>
      <rPr>
        <rFont val="Calibri, sans-serif"/>
        <color rgb="FF1155CC"/>
        <sz val="11.0"/>
        <u/>
      </rPr>
      <t>Cardano4Skill: Practical Training for Ethiopian Businesses</t>
    </r>
  </si>
  <si>
    <r>
      <rPr>
        <rFont val="Calibri, sans-serif"/>
        <color rgb="FF1155CC"/>
        <sz val="11.0"/>
        <u/>
      </rPr>
      <t>Regulatory Watch: Monthly Digest &amp; Risk Radar</t>
    </r>
  </si>
  <si>
    <r>
      <rPr>
        <rFont val="Calibri, sans-serif"/>
        <color rgb="FF1155CC"/>
        <sz val="11.0"/>
        <u/>
      </rPr>
      <t>Cardano Ethiopia: TikTok in 3 Languages</t>
    </r>
  </si>
  <si>
    <r>
      <rPr>
        <rFont val="Calibri, sans-serif"/>
        <color rgb="FF1155CC"/>
        <sz val="11.0"/>
        <u/>
      </rPr>
      <t>Legal Compliance Indonesia by CWI</t>
    </r>
  </si>
  <si>
    <t>2 funded?</t>
  </si>
  <si>
    <t>Category</t>
  </si>
  <si>
    <t>Cardano Use Cases: Partners &amp; Products</t>
  </si>
  <si>
    <r>
      <rPr>
        <rFont val="Calibri, sans-serif"/>
        <color rgb="FF1155CC"/>
        <sz val="11.0"/>
        <u/>
      </rPr>
      <t>Ledger Live DRep Delegation Support</t>
    </r>
  </si>
  <si>
    <r>
      <rPr>
        <rFont val="Calibri, sans-serif"/>
        <color rgb="FF1155CC"/>
        <sz val="11.0"/>
        <u/>
      </rPr>
      <t>Japanese government funded: AI chat platform with Fujitsu</t>
    </r>
  </si>
  <si>
    <r>
      <rPr>
        <rFont val="Calibri, sans-serif"/>
        <color rgb="FF1155CC"/>
        <sz val="11.0"/>
        <u/>
      </rPr>
      <t>Stable + Cardano: fast and feeless USDT interopability</t>
    </r>
  </si>
  <si>
    <r>
      <rPr>
        <rFont val="Calibri, sans-serif"/>
        <color rgb="FF1155CC"/>
        <sz val="11.0"/>
        <u/>
      </rPr>
      <t>Onchain analytics for the Cardano ecosystem</t>
    </r>
  </si>
  <si>
    <r>
      <rPr>
        <rFont val="Calibri, sans-serif"/>
        <color rgb="FF1155CC"/>
        <sz val="11.0"/>
        <u/>
      </rPr>
      <t>Strike Finance &lt;&gt; Bodega Market: Predection Market Perps</t>
    </r>
  </si>
  <si>
    <r>
      <rPr>
        <rFont val="Calibri, sans-serif"/>
        <color rgb="FF1155CC"/>
        <sz val="11.0"/>
        <u/>
      </rPr>
      <t>Cardano Institutional UX Stack: Compliance &amp; BTC-Ready DeFi</t>
    </r>
  </si>
  <si>
    <r>
      <rPr>
        <rFont val="Calibri, sans-serif"/>
        <color rgb="FF1155CC"/>
        <sz val="11.0"/>
        <u/>
      </rPr>
      <t>High-Yield RWA on Cardano: Tokenized U.S. Real Estate</t>
    </r>
  </si>
  <si>
    <t>Cardano Open: Developers</t>
  </si>
  <si>
    <r>
      <rPr>
        <rFont val="Calibri, sans-serif"/>
        <color rgb="FF1155CC"/>
        <sz val="11.0"/>
        <u/>
      </rPr>
      <t>Rapid DEX: Mainnet-Ready, Batcher-Free &amp; Advanced Features</t>
    </r>
  </si>
  <si>
    <r>
      <rPr>
        <rFont val="Calibri, sans-serif"/>
        <color rgb="FF1155CC"/>
        <sz val="11.0"/>
        <u/>
      </rPr>
      <t>Boosting USDM/USDA adoption with "BUY NOW, PAY LATER" loans.</t>
    </r>
  </si>
  <si>
    <r>
      <rPr>
        <rFont val="Calibri, sans-serif"/>
        <color rgb="FF1155CC"/>
        <sz val="11.0"/>
        <u/>
      </rPr>
      <t>Cexplorer: Mini Cardano Explorer for (not only) Local Usage</t>
    </r>
  </si>
  <si>
    <r>
      <rPr>
        <rFont val="Calibri, sans-serif"/>
        <color rgb="FF1155CC"/>
        <sz val="11.0"/>
        <u/>
      </rPr>
      <t>No Witness - Hydra Manager</t>
    </r>
  </si>
  <si>
    <r>
      <rPr>
        <rFont val="Calibri, sans-serif"/>
        <color rgb="FF1155CC"/>
        <sz val="11.0"/>
        <u/>
      </rPr>
      <t>SAP–Cardano OData V4 API with CAP &amp; SAP-Cardano SDK</t>
    </r>
  </si>
  <si>
    <r>
      <rPr>
        <rFont val="Calibri, sans-serif"/>
        <color rgb="FF1155CC"/>
        <sz val="11.0"/>
        <u/>
      </rPr>
      <t>SAIB: Chrysalis.Plutus.Core - Parser &amp; CEK Engine for .NET</t>
    </r>
  </si>
  <si>
    <r>
      <rPr>
        <rFont val="Calibri, sans-serif"/>
        <color rgb="FF1155CC"/>
        <sz val="11.0"/>
        <u/>
      </rPr>
      <t>K3 Labs and Waffle Capital | DeFi Agents on Cardano</t>
    </r>
  </si>
  <si>
    <r>
      <rPr>
        <rFont val="Calibri, sans-serif"/>
        <color rgb="FF1155CC"/>
        <sz val="11.0"/>
        <u/>
      </rPr>
      <t>Ethereum to Cardano Multi-Asset Bridge Powered by Wormhole</t>
    </r>
  </si>
  <si>
    <r>
      <rPr>
        <rFont val="Calibri, sans-serif"/>
        <color rgb="FF1155CC"/>
        <sz val="11.0"/>
        <u/>
      </rPr>
      <t>MLabs - Feesaswap: Decentralized Fee Trading on Cardano</t>
    </r>
  </si>
  <si>
    <r>
      <rPr>
        <rFont val="Calibri, sans-serif"/>
        <color rgb="FF1155CC"/>
        <sz val="11.0"/>
        <u/>
      </rPr>
      <t>DPP - Compliant Onchain European Digital Product Passport</t>
    </r>
  </si>
  <si>
    <r>
      <rPr>
        <rFont val="Calibri, sans-serif"/>
        <color rgb="FF1155CC"/>
        <sz val="11.0"/>
        <u/>
      </rPr>
      <t>1694.io - Open Source Governance Tooling &amp; DRep Platform</t>
    </r>
  </si>
  <si>
    <r>
      <rPr>
        <rFont val="Calibri, sans-serif"/>
        <color rgb="FF1155CC"/>
        <sz val="11.0"/>
        <u/>
      </rPr>
      <t>Anvil - Weld: Massive Updates and Seamless Cardano for dApps</t>
    </r>
  </si>
  <si>
    <r>
      <rPr>
        <rFont val="Calibri, sans-serif"/>
        <color rgb="FF1155CC"/>
        <sz val="11.0"/>
        <u/>
      </rPr>
      <t>Real Estate Tokenization Powered by Cardano</t>
    </r>
  </si>
  <si>
    <r>
      <rPr>
        <rFont val="Calibri, sans-serif"/>
        <color rgb="FF1155CC"/>
        <sz val="11.0"/>
        <u/>
      </rPr>
      <t>Cometa.cpp: Cardano SDK for C++ with Full Conway Era Support</t>
    </r>
  </si>
  <si>
    <r>
      <rPr>
        <rFont val="Calibri, sans-serif"/>
        <color rgb="FF1155CC"/>
        <sz val="11.0"/>
        <u/>
      </rPr>
      <t>AgriPass- Verified Identity, Trusted Agriculture.</t>
    </r>
  </si>
  <si>
    <r>
      <rPr>
        <rFont val="Calibri, sans-serif"/>
        <color rgb="FF1155CC"/>
        <sz val="11.0"/>
        <u/>
      </rPr>
      <t>Cardano Component UI Library [by Lido Nation]</t>
    </r>
  </si>
  <si>
    <r>
      <rPr>
        <rFont val="Calibri, sans-serif"/>
        <color rgb="FF1155CC"/>
        <sz val="11.0"/>
        <u/>
      </rPr>
      <t>Implement PLONK in Aiken (ZK) - Eryx</t>
    </r>
  </si>
  <si>
    <r>
      <rPr>
        <rFont val="Calibri, sans-serif"/>
        <color rgb="FF1155CC"/>
        <sz val="11.0"/>
        <u/>
      </rPr>
      <t>Hypernative Real-Time Security for Cardano</t>
    </r>
  </si>
  <si>
    <r>
      <rPr>
        <rFont val="Calibri, sans-serif"/>
        <color rgb="FF1155CC"/>
        <sz val="11.0"/>
        <u/>
      </rPr>
      <t>MLabs - CTL JavaScript / TypeScript Interface</t>
    </r>
  </si>
  <si>
    <r>
      <rPr>
        <rFont val="Calibri, sans-serif"/>
        <color rgb="FF1155CC"/>
        <sz val="11.0"/>
        <u/>
      </rPr>
      <t>Bind-friendly C Library for Ledger HW Cardano App</t>
    </r>
  </si>
  <si>
    <r>
      <rPr>
        <rFont val="Calibri, sans-serif"/>
        <color rgb="FF1155CC"/>
        <sz val="11.0"/>
        <u/>
      </rPr>
      <t>SAIB: Chrysalis.Network – Ouroboros Protocols for .NET</t>
    </r>
  </si>
  <si>
    <r>
      <rPr>
        <rFont val="Calibri, sans-serif"/>
        <color rgb="FF1155CC"/>
        <sz val="11.0"/>
        <u/>
      </rPr>
      <t>AI Agent to Break Barriers and Unlock Cardano DeFi Adoption</t>
    </r>
  </si>
  <si>
    <r>
      <rPr>
        <rFont val="Calibri, sans-serif"/>
        <color rgb="FF1155CC"/>
        <sz val="11.0"/>
        <u/>
      </rPr>
      <t>Clarity X Tempo: Cardano Governance Hub</t>
    </r>
  </si>
  <si>
    <r>
      <rPr>
        <rFont val="Calibri, sans-serif"/>
        <color rgb="FF1155CC"/>
        <sz val="11.0"/>
        <u/>
      </rPr>
      <t>Evolution 1 of Cardano Native Token Price Indexer in Kotlin</t>
    </r>
  </si>
  <si>
    <r>
      <rPr>
        <rFont val="Calibri, sans-serif"/>
        <color rgb="FF1155CC"/>
        <sz val="11.0"/>
        <u/>
      </rPr>
      <t>Elixir client for Ouroboros networking protocol</t>
    </r>
  </si>
  <si>
    <r>
      <rPr>
        <rFont val="Calibri, sans-serif"/>
        <color rgb="FF1155CC"/>
        <sz val="11.0"/>
        <u/>
      </rPr>
      <t>SAIB: Chrysalis.Plutus.SDK - Developer Tools &amp; Integration</t>
    </r>
  </si>
  <si>
    <r>
      <rPr>
        <rFont val="Calibri, sans-serif"/>
        <color rgb="FF1155CC"/>
        <sz val="11.0"/>
        <u/>
      </rPr>
      <t>Faster &amp; Trusted Cardano Oracle, 98x Cheaper vs Chainlink</t>
    </r>
  </si>
  <si>
    <r>
      <rPr>
        <rFont val="Calibri, sans-serif"/>
        <color rgb="FF1155CC"/>
        <sz val="11.0"/>
        <u/>
      </rPr>
      <t>Aiken Integration on IntelliJ - Eryx</t>
    </r>
  </si>
  <si>
    <r>
      <rPr>
        <rFont val="Calibri, sans-serif"/>
        <color rgb="FF1155CC"/>
        <sz val="11.0"/>
        <u/>
      </rPr>
      <t>Financial Inclusion for Unbanked Women via DID and Education</t>
    </r>
  </si>
  <si>
    <r>
      <rPr>
        <rFont val="Calibri, sans-serif"/>
        <color rgb="FF1155CC"/>
        <sz val="11.0"/>
        <u/>
      </rPr>
      <t>Multi-source Oracle Aggregation</t>
    </r>
  </si>
  <si>
    <r>
      <rPr>
        <rFont val="Calibri, sans-serif"/>
        <color rgb="FF1155CC"/>
        <sz val="11.0"/>
        <u/>
      </rPr>
      <t>ISO-Compliant Forest MRV - Satellite Oracle Extension</t>
    </r>
  </si>
  <si>
    <r>
      <rPr>
        <rFont val="Calibri, sans-serif"/>
        <color rgb="FF1155CC"/>
        <sz val="11.0"/>
        <u/>
      </rPr>
      <t>Anvil - CSL‑Lite: Modular Cardano Serialization Toolkit</t>
    </r>
  </si>
  <si>
    <r>
      <rPr>
        <rFont val="Calibri, sans-serif"/>
        <color rgb="FF1155CC"/>
        <sz val="11.0"/>
        <u/>
      </rPr>
      <t>Cometa.php: Cardano SDK for PHP with Full Conway Era Support</t>
    </r>
  </si>
  <si>
    <r>
      <rPr>
        <rFont val="Calibri, sans-serif"/>
        <color rgb="FF1155CC"/>
        <sz val="11.0"/>
        <u/>
      </rPr>
      <t>Atlas PAB: Native Bitcoin (BTC) Integration Layer</t>
    </r>
  </si>
  <si>
    <r>
      <rPr>
        <rFont val="Calibri, sans-serif"/>
        <color rgb="FF1155CC"/>
        <sz val="11.0"/>
        <u/>
      </rPr>
      <t>High-Performance Cardano DEX Indexer — Rust + gRPC</t>
    </r>
  </si>
  <si>
    <r>
      <rPr>
        <rFont val="Calibri, sans-serif"/>
        <color rgb="FF1155CC"/>
        <sz val="11.0"/>
        <u/>
      </rPr>
      <t>SAIB: Chrysalis.Tx – Advanced Transaction Building for .NET</t>
    </r>
  </si>
  <si>
    <r>
      <rPr>
        <rFont val="Calibri, sans-serif"/>
        <color rgb="FF1155CC"/>
        <sz val="11.0"/>
        <u/>
      </rPr>
      <t>MLabs: Path Analysis on Covenant</t>
    </r>
  </si>
  <si>
    <r>
      <rPr>
        <rFont val="Calibri, sans-serif"/>
        <color rgb="FF1155CC"/>
        <sz val="11.0"/>
        <u/>
      </rPr>
      <t>Mesh UTXOS x Mercuryo (MasterCard) x Checkpoint</t>
    </r>
  </si>
  <si>
    <r>
      <rPr>
        <rFont val="Calibri, sans-serif"/>
        <color rgb="FF1155CC"/>
        <sz val="11.0"/>
        <u/>
      </rPr>
      <t>Mesh: Privacy-Enabled Smart Contracts and UI for Midnight</t>
    </r>
  </si>
  <si>
    <r>
      <rPr>
        <rFont val="Calibri, sans-serif"/>
        <color rgb="FF1155CC"/>
        <sz val="11.0"/>
        <u/>
      </rPr>
      <t>Cross-Platform SDK: A Unified Cardano Development Kit</t>
    </r>
  </si>
  <si>
    <r>
      <rPr>
        <rFont val="Calibri, sans-serif"/>
        <color rgb="FF1155CC"/>
        <sz val="11.0"/>
        <u/>
      </rPr>
      <t>VDIC-Cardano: Verifiable IPFS Clusters for Cardano</t>
    </r>
  </si>
  <si>
    <r>
      <rPr>
        <rFont val="Calibri, sans-serif"/>
        <color rgb="FF1155CC"/>
        <sz val="11.0"/>
        <u/>
      </rPr>
      <t>Flow V2 - Open Source Multi Collateral AMM Lending Pools</t>
    </r>
  </si>
  <si>
    <r>
      <rPr>
        <rFont val="Calibri, sans-serif"/>
        <color rgb="FF1155CC"/>
        <sz val="11.0"/>
        <u/>
      </rPr>
      <t>All-in-One Catalyst: Notifications, AI Lists &amp; Portfolios</t>
    </r>
  </si>
  <si>
    <r>
      <rPr>
        <rFont val="Calibri, sans-serif"/>
        <color rgb="FF1155CC"/>
        <sz val="11.0"/>
        <u/>
      </rPr>
      <t>CardaPay Seamless Payments Powered by Cardano</t>
    </r>
  </si>
  <si>
    <r>
      <rPr>
        <rFont val="Calibri, sans-serif"/>
        <color rgb="FF1155CC"/>
        <sz val="11.0"/>
        <u/>
      </rPr>
      <t>Onchain Leverage Trading on Splash</t>
    </r>
  </si>
  <si>
    <r>
      <rPr>
        <rFont val="Calibri, sans-serif"/>
        <color rgb="FF1155CC"/>
        <sz val="11.0"/>
        <u/>
      </rPr>
      <t>Muzify Cardano Fan Wallet &amp; USDA Loyalty Engine</t>
    </r>
  </si>
  <si>
    <r>
      <rPr>
        <rFont val="Calibri, sans-serif"/>
        <color rgb="FF1155CC"/>
        <sz val="11.0"/>
        <u/>
      </rPr>
      <t>WFP Price Ledger: Democratizing Market Data with Blockchain</t>
    </r>
  </si>
  <si>
    <r>
      <rPr>
        <rFont val="Calibri, sans-serif"/>
        <color rgb="FF1155CC"/>
        <sz val="11.0"/>
        <u/>
      </rPr>
      <t>Aiken JetBrains Extension</t>
    </r>
  </si>
  <si>
    <r>
      <rPr>
        <rFont val="Calibri, sans-serif"/>
        <color rgb="FF1155CC"/>
        <sz val="11.0"/>
        <u/>
      </rPr>
      <t>One-Click Insurance for transactions onCardano Chain &amp; DApps</t>
    </r>
  </si>
  <si>
    <r>
      <rPr>
        <rFont val="Calibri, sans-serif"/>
        <color rgb="FF1155CC"/>
        <sz val="11.0"/>
        <u/>
      </rPr>
      <t>SAIB: Chrysalis.Plutus.Builtins - Core Runtime Operations</t>
    </r>
  </si>
  <si>
    <r>
      <rPr>
        <rFont val="Calibri, sans-serif"/>
        <color rgb="FF1155CC"/>
        <sz val="11.0"/>
        <u/>
      </rPr>
      <t>Anvil - Scale the Chain: Universal Merkle Bridge POC for L2s</t>
    </r>
  </si>
  <si>
    <r>
      <rPr>
        <rFont val="Calibri, sans-serif"/>
        <color rgb="FF1155CC"/>
        <sz val="11.0"/>
        <u/>
      </rPr>
      <t>Andamio Auth: T3 App Template with Cardano Token-Based Login</t>
    </r>
  </si>
  <si>
    <r>
      <rPr>
        <rFont val="Calibri, sans-serif"/>
        <color rgb="FF1155CC"/>
        <sz val="11.0"/>
        <u/>
      </rPr>
      <t>Shopify + ADA Payments + Native Assets in E-commerce Stores</t>
    </r>
  </si>
  <si>
    <r>
      <rPr>
        <rFont val="Calibri, sans-serif"/>
        <color rgb="FF1155CC"/>
        <sz val="11.0"/>
        <u/>
      </rPr>
      <t>Cardano Passkey</t>
    </r>
  </si>
  <si>
    <r>
      <rPr>
        <rFont val="Calibri, sans-serif"/>
        <color rgb="FF1155CC"/>
        <sz val="11.0"/>
        <u/>
      </rPr>
      <t>SAIB: Chrysalis.CBOR – .NET's CBOR (De)serialization Engine</t>
    </r>
  </si>
  <si>
    <r>
      <rPr>
        <rFont val="Calibri, sans-serif"/>
        <color rgb="FF1155CC"/>
        <sz val="11.0"/>
        <u/>
      </rPr>
      <t>Whitelabel Hydra Auctions for Gaming &amp; Defi (MLabs + Ikigai)</t>
    </r>
  </si>
  <si>
    <r>
      <rPr>
        <rFont val="Calibri, sans-serif"/>
        <color rgb="FF1155CC"/>
        <sz val="11.0"/>
        <u/>
      </rPr>
      <t>Armenia- Country Level Waste System with Plastiks.io</t>
    </r>
  </si>
  <si>
    <r>
      <rPr>
        <rFont val="Calibri, sans-serif"/>
        <color rgb="FF1155CC"/>
        <sz val="11.0"/>
        <u/>
      </rPr>
      <t>COTS-CLI: Cardano Offline Transaction Simulator</t>
    </r>
  </si>
  <si>
    <r>
      <rPr>
        <rFont val="Calibri, sans-serif"/>
        <color rgb="FF1155CC"/>
        <sz val="11.0"/>
        <u/>
      </rPr>
      <t>Boost Developer Efficiency: Cardano + Midnight Dev MCP Agent</t>
    </r>
  </si>
  <si>
    <r>
      <rPr>
        <rFont val="Calibri, sans-serif"/>
        <color rgb="FF1155CC"/>
        <sz val="11.0"/>
        <u/>
      </rPr>
      <t>Cometa.lua: Cardano SDK for Lua with Full Conway Era Support</t>
    </r>
  </si>
  <si>
    <r>
      <rPr>
        <rFont val="Calibri, sans-serif"/>
        <color rgb="FF1155CC"/>
        <sz val="11.0"/>
        <u/>
      </rPr>
      <t>Unified Open Source DAO Analytics for Cardano</t>
    </r>
  </si>
  <si>
    <r>
      <rPr>
        <rFont val="Calibri, sans-serif"/>
        <color rgb="FF1155CC"/>
        <sz val="11.0"/>
        <u/>
      </rPr>
      <t>SMARTMERCH™ on Cardano — Bringing Onchain RWA to Daily Life</t>
    </r>
  </si>
  <si>
    <r>
      <rPr>
        <rFont val="Calibri, sans-serif"/>
        <color rgb="FF1155CC"/>
        <sz val="11.0"/>
        <u/>
      </rPr>
      <t>Commercial Bank Money Token CBMT on Cardano</t>
    </r>
  </si>
  <si>
    <r>
      <rPr>
        <rFont val="Calibri, sans-serif"/>
        <color rgb="FF1155CC"/>
        <sz val="11.0"/>
        <u/>
      </rPr>
      <t>BikeID Proof Of Bike Millions of Bikes Registered on Cardano</t>
    </r>
  </si>
  <si>
    <r>
      <rPr>
        <rFont val="Calibri, sans-serif"/>
        <color rgb="FF1155CC"/>
        <sz val="11.0"/>
        <u/>
      </rPr>
      <t>Koios C++ Client Library</t>
    </r>
  </si>
  <si>
    <r>
      <rPr>
        <rFont val="Calibri, sans-serif"/>
        <color rgb="FF1155CC"/>
        <sz val="11.0"/>
        <u/>
      </rPr>
      <t>AI-Powered Smart Contract Auditing Tool for Cardano</t>
    </r>
  </si>
  <si>
    <r>
      <rPr>
        <rFont val="Calibri, sans-serif"/>
        <color rgb="FF1155CC"/>
        <sz val="11.0"/>
        <u/>
      </rPr>
      <t>Juicychain: Tracing the Global Juice Supply Chain on Cardano</t>
    </r>
  </si>
  <si>
    <r>
      <rPr>
        <rFont val="Calibri, sans-serif"/>
        <color rgb="FF1155CC"/>
        <sz val="11.0"/>
        <u/>
      </rPr>
      <t>Hydra-Powered EV Battery DPP: Privacy + Transparency</t>
    </r>
  </si>
  <si>
    <r>
      <rPr>
        <rFont val="Calibri, sans-serif"/>
        <color rgb="FF1155CC"/>
        <sz val="11.0"/>
        <u/>
      </rPr>
      <t>Midnight and Open Zeppelin Partnership for Computation</t>
    </r>
  </si>
  <si>
    <r>
      <rPr>
        <rFont val="Calibri, sans-serif"/>
        <color rgb="FF1155CC"/>
        <sz val="11.0"/>
        <u/>
      </rPr>
      <t>Cometa.rb: Cardano SDK for Ruby with Full Conway Era Support</t>
    </r>
  </si>
  <si>
    <r>
      <rPr>
        <rFont val="Calibri, sans-serif"/>
        <color rgb="FF1155CC"/>
        <sz val="11.0"/>
        <u/>
      </rPr>
      <t>Malama Carbon - Universal dMRV Infrastructure on Cardano</t>
    </r>
  </si>
  <si>
    <r>
      <rPr>
        <rFont val="Calibri, sans-serif"/>
        <color rgb="FF1155CC"/>
        <sz val="11.0"/>
        <u/>
      </rPr>
      <t>No Witness - MACS coin selection algorithm for Evolution SKD</t>
    </r>
  </si>
  <si>
    <t>Does not meet "sponsored by leftovers" requirements.</t>
  </si>
  <si>
    <r>
      <rPr>
        <rFont val="Calibri, sans-serif"/>
        <color rgb="FF1155CC"/>
        <sz val="11.0"/>
        <u/>
      </rPr>
      <t>Cardanoscan for AI Agents: Open Source MCP Server</t>
    </r>
  </si>
  <si>
    <r>
      <rPr>
        <rFont val="Calibri, sans-serif"/>
        <color rgb="FF1155CC"/>
        <sz val="11.0"/>
        <u/>
      </rPr>
      <t>No Witness - Firehose and Substreams Integration for Cardano</t>
    </r>
  </si>
  <si>
    <r>
      <rPr>
        <rFont val="Calibri, sans-serif"/>
        <color rgb="FF1155CC"/>
        <sz val="11.0"/>
        <u/>
      </rPr>
      <t>No Witness - Common Vulnerabilities Patterns</t>
    </r>
  </si>
  <si>
    <r>
      <rPr>
        <rFont val="Calibri, sans-serif"/>
        <color rgb="FF1155CC"/>
        <sz val="11.0"/>
        <u/>
      </rPr>
      <t>No Witness - Ghost Codec the Hardhat of Cardano</t>
    </r>
  </si>
  <si>
    <r>
      <rPr>
        <rFont val="Calibri, sans-serif"/>
        <color rgb="FF1155CC"/>
        <sz val="11.0"/>
        <u/>
      </rPr>
      <t>No Witness - Cardano MCP (Model Context Protocol)</t>
    </r>
  </si>
  <si>
    <r>
      <rPr>
        <rFont val="Calibri, sans-serif"/>
        <color rgb="FF1155CC"/>
        <sz val="11.0"/>
        <u/>
      </rPr>
      <t>Cexplorer: Open Addon System for Metadata and Scripts</t>
    </r>
  </si>
  <si>
    <r>
      <rPr>
        <rFont val="Calibri, sans-serif"/>
        <color rgb="FF1155CC"/>
        <sz val="11.0"/>
        <u/>
      </rPr>
      <t>Cexplorer: Public Entity DB and Mgmt for Pool/Drep/Asset/...</t>
    </r>
  </si>
  <si>
    <r>
      <rPr>
        <rFont val="Calibri, sans-serif"/>
        <color rgb="FF1155CC"/>
        <sz val="11.0"/>
        <u/>
      </rPr>
      <t>Datum Explorer: Advanced CBOR tools &amp; Interactive Features</t>
    </r>
  </si>
  <si>
    <r>
      <rPr>
        <rFont val="Calibri, sans-serif"/>
        <color rgb="FF1155CC"/>
        <sz val="11.0"/>
        <u/>
      </rPr>
      <t>Multi-chain wallet SDK for Cardano interoperability</t>
    </r>
  </si>
  <si>
    <r>
      <rPr>
        <rFont val="Calibri, sans-serif"/>
        <color rgb="FF1155CC"/>
        <sz val="11.0"/>
        <u/>
      </rPr>
      <t>Prime Wallet: Mass Voting &amp; Multi-Wallet Actions</t>
    </r>
  </si>
  <si>
    <r>
      <rPr>
        <rFont val="Calibri, sans-serif"/>
        <color rgb="FF1155CC"/>
        <sz val="11.0"/>
        <u/>
      </rPr>
      <t>Improving Cardano UX - Transparent Block Production Schedule</t>
    </r>
  </si>
  <si>
    <r>
      <rPr>
        <rFont val="Calibri, sans-serif"/>
        <color rgb="FF1155CC"/>
        <sz val="11.0"/>
        <u/>
      </rPr>
      <t>Cardano cross-chain swaps with 25+ blockchains</t>
    </r>
  </si>
  <si>
    <r>
      <rPr>
        <rFont val="Calibri, sans-serif"/>
        <color rgb="FF1155CC"/>
        <sz val="11.0"/>
        <u/>
      </rPr>
      <t>Cardanoscan Upgrade V3: Real-Time, Personal &amp; More Analytics</t>
    </r>
  </si>
  <si>
    <r>
      <rPr>
        <rFont val="Calibri, sans-serif"/>
        <color rgb="FF1155CC"/>
        <sz val="11.0"/>
        <u/>
      </rPr>
      <t>USDC + USDT perps on Cardano: extend Strike for multi-chain</t>
    </r>
  </si>
  <si>
    <r>
      <rPr>
        <rFont val="Calibri, sans-serif"/>
        <color rgb="FF1155CC"/>
        <sz val="11.0"/>
        <u/>
      </rPr>
      <t>Typhon Wallet - Secure Multi-Signature Support</t>
    </r>
  </si>
  <si>
    <r>
      <rPr>
        <rFont val="Calibri, sans-serif"/>
        <color rgb="FF1155CC"/>
        <sz val="11.0"/>
        <u/>
      </rPr>
      <t>SIDAN - Cardano Bar - Aiken Blueprint Parser for VSCode</t>
    </r>
  </si>
  <si>
    <r>
      <rPr>
        <rFont val="Calibri, sans-serif"/>
        <color rgb="FF1155CC"/>
        <sz val="11.0"/>
        <u/>
      </rPr>
      <t>Deploy Faster on Cardano: Open-Source Off-Chain Engine</t>
    </r>
  </si>
  <si>
    <r>
      <rPr>
        <rFont val="Calibri, sans-serif"/>
        <color rgb="FF1155CC"/>
        <sz val="11.0"/>
        <u/>
      </rPr>
      <t>SIDAN - Vodka - Complete Aiken Dev Utils &amp; Testing Framework</t>
    </r>
  </si>
  <si>
    <r>
      <rPr>
        <rFont val="Calibri, sans-serif"/>
        <color rgb="FF1155CC"/>
        <sz val="11.0"/>
        <u/>
      </rPr>
      <t>Hydra Enterprise OS: Onboarding Institutions with Low-code</t>
    </r>
  </si>
  <si>
    <r>
      <rPr>
        <rFont val="Calibri, sans-serif"/>
        <color rgb="FF1155CC"/>
        <sz val="11.0"/>
        <u/>
      </rPr>
      <t>Hydra-Enabled On-Chain ChatGPT for Secure &amp; High-Speed AI</t>
    </r>
  </si>
  <si>
    <r>
      <rPr>
        <rFont val="Calibri, sans-serif"/>
        <color rgb="FF1155CC"/>
        <sz val="11.0"/>
        <u/>
      </rPr>
      <t>Cardano Partnerchain Migrator: Solana PE &amp; Avalanche Subnet</t>
    </r>
  </si>
  <si>
    <r>
      <rPr>
        <rFont val="Calibri, sans-serif"/>
        <color rgb="FF1155CC"/>
        <sz val="11.0"/>
        <u/>
      </rPr>
      <t>ZK-P2P Lending with Midnight ZKPs; Private Loans Cardano Lib</t>
    </r>
  </si>
  <si>
    <r>
      <rPr>
        <rFont val="Calibri, sans-serif"/>
        <color rgb="FF1155CC"/>
        <sz val="11.0"/>
        <u/>
      </rPr>
      <t>Orcfax Live Feed Extension – Latest Price Smart Contract</t>
    </r>
  </si>
  <si>
    <r>
      <rPr>
        <rFont val="Calibri, sans-serif"/>
        <color rgb="FF1155CC"/>
        <sz val="11.0"/>
        <u/>
      </rPr>
      <t>VESPR Keyless: Self-Custody Without Seed Phrases</t>
    </r>
  </si>
  <si>
    <r>
      <rPr>
        <rFont val="Calibri, sans-serif"/>
        <color rgb="FF1155CC"/>
        <sz val="11.0"/>
        <u/>
      </rPr>
      <t>NuNet: Hydra-Powered Micropayments for DePIN</t>
    </r>
  </si>
  <si>
    <r>
      <rPr>
        <rFont val="Calibri, sans-serif"/>
        <color rgb="FF1155CC"/>
        <sz val="11.0"/>
        <u/>
      </rPr>
      <t>VESPR x DexHunter: Stable-Swaps Aggregation 💱</t>
    </r>
  </si>
  <si>
    <r>
      <rPr>
        <rFont val="Calibri, sans-serif"/>
        <color rgb="FF1155CC"/>
        <sz val="11.0"/>
        <u/>
      </rPr>
      <t>VESPR: Mobile Governance - Activating 100M+ ADA</t>
    </r>
  </si>
  <si>
    <r>
      <rPr>
        <rFont val="Calibri, sans-serif"/>
        <color rgb="FF1155CC"/>
        <sz val="11.0"/>
        <u/>
      </rPr>
      <t>Launching the Frax Stablecoin &amp; DeFi Ecosystem on Cardano</t>
    </r>
  </si>
  <si>
    <r>
      <rPr>
        <rFont val="Calibri, sans-serif"/>
        <color rgb="FF1155CC"/>
        <sz val="11.0"/>
        <u/>
      </rPr>
      <t>NuNet: Decentralized SPO Computing - Scaling&amp;Expansion</t>
    </r>
  </si>
  <si>
    <t>Challenge</t>
  </si>
  <si>
    <t>Proposer</t>
  </si>
  <si>
    <t>Mynth</t>
  </si>
  <si>
    <t>JunctionFi + Ctrl Wallet + Cardano: expand to 22 blockchains</t>
  </si>
  <si>
    <t>Category budget:</t>
  </si>
  <si>
    <t>Cardano Open: Ecosystem</t>
  </si>
  <si>
    <t>Cardano Use Cases: Concept</t>
  </si>
  <si>
    <t>Stake:</t>
  </si>
  <si>
    <t>Total registered stake:</t>
  </si>
  <si>
    <t>Threshold:</t>
  </si>
  <si>
    <t>Leftovers:</t>
  </si>
  <si>
    <t>Sum of the leftovers: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</si>
</sst>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₳ ]#,##0.00"/>
    <numFmt numFmtId="165" formatCode="&quot;$&quot;#,##0"/>
    <numFmt numFmtId="166" formatCode="₳#,##0"/>
    <numFmt numFmtId="167" formatCode="₳#,##0.00000"/>
  </numFmts>
  <fonts count="8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FF99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1" xfId="0" applyAlignment="1" applyFont="1" applyNumberFormat="1">
      <alignment readingOrder="0" shrinkToFit="0" vertical="bottom" wrapText="1"/>
    </xf>
    <xf borderId="0" fillId="2" fontId="1" numFmtId="164" xfId="0" applyAlignment="1" applyFont="1" applyNumberFormat="1">
      <alignment readingOrder="0" shrinkToFit="0" vertical="bottom" wrapText="1"/>
    </xf>
    <xf borderId="0" fillId="2" fontId="1" numFmtId="165" xfId="0" applyAlignment="1" applyFont="1" applyNumberFormat="1">
      <alignment readingOrder="0" shrinkToFit="0" vertical="bottom" wrapText="1"/>
    </xf>
    <xf borderId="0" fillId="2" fontId="1" numFmtId="0" xfId="0" applyAlignment="1" applyFont="1">
      <alignment readingOrder="0" shrinkToFit="0" vertical="bottom" wrapText="1"/>
    </xf>
    <xf borderId="1" fillId="2" fontId="1" numFmtId="165" xfId="0" applyAlignment="1" applyBorder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3" fontId="2" numFmtId="0" xfId="0" applyFill="1" applyFont="1"/>
    <xf borderId="0" fillId="0" fontId="2" numFmtId="167" xfId="0" applyAlignment="1" applyFont="1" applyNumberFormat="1">
      <alignment horizontal="right" readingOrder="0" shrinkToFit="0" vertical="bottom" wrapText="0"/>
    </xf>
    <xf borderId="0" fillId="3" fontId="3" numFmtId="0" xfId="0" applyFont="1"/>
    <xf borderId="0" fillId="3" fontId="3" numFmtId="167" xfId="0" applyAlignment="1" applyFont="1" applyNumberFormat="1">
      <alignment horizontal="right" vertical="bottom"/>
    </xf>
    <xf borderId="0" fillId="0" fontId="3" numFmtId="166" xfId="0" applyAlignment="1" applyFont="1" applyNumberFormat="1">
      <alignment readingOrder="0"/>
    </xf>
    <xf borderId="0" fillId="0" fontId="2" numFmtId="49" xfId="0" applyAlignment="1" applyFont="1" applyNumberFormat="1">
      <alignment readingOrder="0" shrinkToFit="0" vertical="bottom" wrapText="0"/>
    </xf>
    <xf borderId="0" fillId="0" fontId="3" numFmtId="1" xfId="0" applyFont="1" applyNumberFormat="1"/>
    <xf borderId="1" fillId="2" fontId="1" numFmtId="166" xfId="0" applyAlignment="1" applyBorder="1" applyFont="1" applyNumberFormat="1">
      <alignment readingOrder="0" shrinkToFit="0" vertical="bottom" wrapText="1"/>
    </xf>
    <xf borderId="0" fillId="0" fontId="4" numFmtId="0" xfId="0" applyAlignment="1" applyFont="1">
      <alignment horizontal="lef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3" fontId="3" numFmtId="166" xfId="0" applyAlignment="1" applyFont="1" applyNumberFormat="1">
      <alignment horizontal="right" vertical="bottom"/>
    </xf>
    <xf borderId="0" fillId="0" fontId="5" numFmtId="49" xfId="0" applyAlignment="1" applyFont="1" applyNumberFormat="1">
      <alignment horizontal="left" readingOrder="0" shrinkToFit="0" vertical="bottom" wrapText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3" fontId="3" numFmtId="0" xfId="0" applyAlignment="1" applyFont="1">
      <alignment vertical="bottom"/>
    </xf>
    <xf borderId="0" fillId="0" fontId="2" numFmtId="1" xfId="0" applyAlignment="1" applyFont="1" applyNumberFormat="1">
      <alignment horizontal="right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6" numFmtId="1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6" numFmtId="4" xfId="0" applyAlignment="1" applyFont="1" applyNumberFormat="1">
      <alignment readingOrder="0"/>
    </xf>
    <xf borderId="0" fillId="0" fontId="6" numFmtId="10" xfId="0" applyAlignment="1" applyFont="1" applyNumberFormat="1">
      <alignment horizontal="right" readingOrder="0"/>
    </xf>
    <xf borderId="0" fillId="0" fontId="6" numFmtId="166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ojectcatalyst.io/funds/14/cardano-use-cases-partners-and-products/clarity-x-tempo-cardano-governance-hub" TargetMode="External"/><Relationship Id="rId42" Type="http://schemas.openxmlformats.org/officeDocument/2006/relationships/hyperlink" Target="https://projectcatalyst.io/funds/14/cardano-use-cases-partners-and-products/financial-inclusion-for-unbanked-women-via-did-and-education" TargetMode="External"/><Relationship Id="rId41" Type="http://schemas.openxmlformats.org/officeDocument/2006/relationships/hyperlink" Target="https://projectcatalyst.io/funds/14/cardano-use-cases-partners-and-products/faster-and-trusted-cardano-oracle-98x-cheaper-vs-chainlink" TargetMode="External"/><Relationship Id="rId44" Type="http://schemas.openxmlformats.org/officeDocument/2006/relationships/hyperlink" Target="https://projectcatalyst.io/funds/14/cardano-use-cases-partners-and-products/mesh-utxos-x-mercuryo-mastercard-x-checkpoint" TargetMode="External"/><Relationship Id="rId43" Type="http://schemas.openxmlformats.org/officeDocument/2006/relationships/hyperlink" Target="https://projectcatalyst.io/funds/14/cardano-use-cases-partners-and-products/iso-compliant-forest-mrv-satellite-oracle-extension" TargetMode="External"/><Relationship Id="rId46" Type="http://schemas.openxmlformats.org/officeDocument/2006/relationships/hyperlink" Target="https://projectcatalyst.io/funds/14/cardano-use-cases-partners-and-products/all-in-one-catalyst-notifications-ai-lists-and-portfolios" TargetMode="External"/><Relationship Id="rId45" Type="http://schemas.openxmlformats.org/officeDocument/2006/relationships/hyperlink" Target="https://projectcatalyst.io/funds/14/cardano-use-cases-partners-and-products/flow-v2-open-source-multi-collateral-amm-lending-pools" TargetMode="External"/><Relationship Id="rId107" Type="http://schemas.openxmlformats.org/officeDocument/2006/relationships/hyperlink" Target="https://projectcatalyst.io/funds/14/cardano-use-cases-partners-and-products/walkers-gamification-for-mass-adoption" TargetMode="External"/><Relationship Id="rId106" Type="http://schemas.openxmlformats.org/officeDocument/2006/relationships/hyperlink" Target="https://projectcatalyst.io/funds/14/cardano-use-cases-partners-and-products/trusted-product-reviews-on-cardano-blockchain" TargetMode="External"/><Relationship Id="rId105" Type="http://schemas.openxmlformats.org/officeDocument/2006/relationships/hyperlink" Target="https://projectcatalyst.io/funds/14/cardano-use-cases-partners-and-products/9z-globant-cardano-opening-e-sports-for-cardano" TargetMode="External"/><Relationship Id="rId104" Type="http://schemas.openxmlformats.org/officeDocument/2006/relationships/hyperlink" Target="https://projectcatalyst.io/funds/14/cardano-use-cases-partners-and-products/build-with-journalists-trust-incentivizing-media-pilot" TargetMode="External"/><Relationship Id="rId109" Type="http://schemas.openxmlformats.org/officeDocument/2006/relationships/drawing" Target="../drawings/drawing2.xml"/><Relationship Id="rId108" Type="http://schemas.openxmlformats.org/officeDocument/2006/relationships/hyperlink" Target="https://projectcatalyst.io/funds/14/cardano-use-cases-partners-and-products/first-class-cardano-support-for-gridplus-hardware" TargetMode="External"/><Relationship Id="rId48" Type="http://schemas.openxmlformats.org/officeDocument/2006/relationships/hyperlink" Target="https://projectcatalyst.io/funds/14/cardano-use-cases-partners-and-products/muzify-cardano-fan-wallet-and-usda-loyalty-engine" TargetMode="External"/><Relationship Id="rId47" Type="http://schemas.openxmlformats.org/officeDocument/2006/relationships/hyperlink" Target="https://projectcatalyst.io/funds/14/cardano-use-cases-partners-and-products/onchain-leverage-trading-on-splash" TargetMode="External"/><Relationship Id="rId49" Type="http://schemas.openxmlformats.org/officeDocument/2006/relationships/hyperlink" Target="https://projectcatalyst.io/funds/14/cardano-use-cases-partners-and-products/wfp-price-ledger-democratizing-market-data-with-blockchain" TargetMode="External"/><Relationship Id="rId103" Type="http://schemas.openxmlformats.org/officeDocument/2006/relationships/hyperlink" Target="https://projectcatalyst.io/funds/14/cardano-use-cases-partners-and-products/proof-of-climate-verified-environmental-assets-on-cardano" TargetMode="External"/><Relationship Id="rId102" Type="http://schemas.openxmlformats.org/officeDocument/2006/relationships/hyperlink" Target="https://projectcatalyst.io/funds/14/cardano-use-cases-partners-and-products/cardano-on-bubblemaps-v2-ft-dexhunter" TargetMode="External"/><Relationship Id="rId101" Type="http://schemas.openxmlformats.org/officeDocument/2006/relationships/hyperlink" Target="https://projectcatalyst.io/funds/14/cardano-use-cases-partners-and-products/car-dano-v2-tokenize-car-inspections-rwa-market-catalyst" TargetMode="External"/><Relationship Id="rId100" Type="http://schemas.openxmlformats.org/officeDocument/2006/relationships/hyperlink" Target="https://projectcatalyst.io/funds/14/cardano-use-cases-partners-and-products/dappradardiscovery-platform-for-cardano-mainstream-adoption" TargetMode="External"/><Relationship Id="rId31" Type="http://schemas.openxmlformats.org/officeDocument/2006/relationships/hyperlink" Target="https://projectcatalyst.io/funds/14/cardano-use-cases-partners-and-products/ethereum-to-cardano-multi-asset-bridge-powered-by-wormhole" TargetMode="External"/><Relationship Id="rId30" Type="http://schemas.openxmlformats.org/officeDocument/2006/relationships/hyperlink" Target="https://projectcatalyst.io/funds/14/cardano-use-cases-partners-and-products/boosting-usdmusda-adoption-with-buy-now-pay-later-loans" TargetMode="External"/><Relationship Id="rId33" Type="http://schemas.openxmlformats.org/officeDocument/2006/relationships/hyperlink" Target="https://projectcatalyst.io/funds/14/cardano-use-cases-partners-and-products/dpp-compliant-onchain-european-digital-product-passport" TargetMode="External"/><Relationship Id="rId32" Type="http://schemas.openxmlformats.org/officeDocument/2006/relationships/hyperlink" Target="https://projectcatalyst.io/funds/14/cardano-use-cases-partners-and-products/mlabs-feesaswap-decentralized-fee-trading-on-cardano" TargetMode="External"/><Relationship Id="rId35" Type="http://schemas.openxmlformats.org/officeDocument/2006/relationships/hyperlink" Target="https://projectcatalyst.io/funds/14/cardano-use-cases-partners-and-products/real-estate-tokenization-powered-by-cardano" TargetMode="External"/><Relationship Id="rId34" Type="http://schemas.openxmlformats.org/officeDocument/2006/relationships/hyperlink" Target="https://projectcatalyst.io/funds/14/cardano-use-cases-partners-and-products/1694io-open-source-governance-tooling-and-drep-platform" TargetMode="External"/><Relationship Id="rId37" Type="http://schemas.openxmlformats.org/officeDocument/2006/relationships/hyperlink" Target="https://projectcatalyst.io/funds/14/cardano-use-cases-partners-and-products/hypernative-real-time-security-for-cardano" TargetMode="External"/><Relationship Id="rId36" Type="http://schemas.openxmlformats.org/officeDocument/2006/relationships/hyperlink" Target="https://projectcatalyst.io/funds/14/cardano-use-cases-partners-and-products/agripass-verified-identity-trusted-agriculture" TargetMode="External"/><Relationship Id="rId39" Type="http://schemas.openxmlformats.org/officeDocument/2006/relationships/hyperlink" Target="https://projectcatalyst.io/funds/14/cardano-use-cases-partners-and-products/ai-agent-to-break-barriers-and-unlock-cardano-defi-adoption" TargetMode="External"/><Relationship Id="rId38" Type="http://schemas.openxmlformats.org/officeDocument/2006/relationships/hyperlink" Target="https://projectcatalyst.io/funds/14/cardano-use-cases-partners-and-products/launching-the-frax-stablecoin-and-defi-ecosystem-on-cardano" TargetMode="External"/><Relationship Id="rId20" Type="http://schemas.openxmlformats.org/officeDocument/2006/relationships/hyperlink" Target="https://projectcatalyst.io/funds/14/cardano-use-cases-partners-and-products/nunet-hydra-powered-micropayments-for-depin" TargetMode="External"/><Relationship Id="rId22" Type="http://schemas.openxmlformats.org/officeDocument/2006/relationships/hyperlink" Target="https://projectcatalyst.io/funds/14/cardano-use-cases-partners-and-products/usdc-usdt-perps-on-cardano-extend-strike-for-multi-chain" TargetMode="External"/><Relationship Id="rId21" Type="http://schemas.openxmlformats.org/officeDocument/2006/relationships/hyperlink" Target="https://projectcatalyst.io/funds/14/cardano-use-cases-partners-and-products/typhon-wallet-secure-multi-signature-support" TargetMode="External"/><Relationship Id="rId24" Type="http://schemas.openxmlformats.org/officeDocument/2006/relationships/hyperlink" Target="https://projectcatalyst.io/funds/14/cardano-use-cases-partners-and-products/vespr-x-dexhunter-stable-swaps-aggregation" TargetMode="External"/><Relationship Id="rId23" Type="http://schemas.openxmlformats.org/officeDocument/2006/relationships/hyperlink" Target="https://projectcatalyst.io/funds/14/cardano-use-cases-partners-and-products/cardanoscan-upgrade-v3-real-time-personal-and-more-analytics" TargetMode="External"/><Relationship Id="rId26" Type="http://schemas.openxmlformats.org/officeDocument/2006/relationships/hyperlink" Target="https://projectcatalyst.io/funds/14/cardano-use-cases-partners-and-products/cardano-institutional-ux-stack-compliance-and-btc-ready-defi" TargetMode="External"/><Relationship Id="rId25" Type="http://schemas.openxmlformats.org/officeDocument/2006/relationships/hyperlink" Target="https://projectcatalyst.io/funds/14/cardano-use-cases-partners-and-products/strike-finance-lessgreater-bodega-market-predection-market-perps" TargetMode="External"/><Relationship Id="rId28" Type="http://schemas.openxmlformats.org/officeDocument/2006/relationships/hyperlink" Target="https://projectcatalyst.io/funds/14/cardano-use-cases-partners-and-products/high-yield-rwa-on-cardano-tokenized-us-real-estate" TargetMode="External"/><Relationship Id="rId27" Type="http://schemas.openxmlformats.org/officeDocument/2006/relationships/hyperlink" Target="https://projectcatalyst.io/funds/14/cardano-use-cases-partners-and-products/cardano-cross-chain-swaps-with-25-blockchains" TargetMode="External"/><Relationship Id="rId29" Type="http://schemas.openxmlformats.org/officeDocument/2006/relationships/hyperlink" Target="https://projectcatalyst.io/funds/14/cardano-use-cases-partners-and-products/vespr-mobile-governance-activating-100m-ada" TargetMode="External"/><Relationship Id="rId95" Type="http://schemas.openxmlformats.org/officeDocument/2006/relationships/hyperlink" Target="https://projectcatalyst.io/funds/14/cardano-use-cases-partners-and-products/wildcard-for-cardano-enabling-seamless-web3-gaming" TargetMode="External"/><Relationship Id="rId94" Type="http://schemas.openxmlformats.org/officeDocument/2006/relationships/hyperlink" Target="https://projectcatalyst.io/funds/14/cardano-use-cases-partners-and-products/dexswift" TargetMode="External"/><Relationship Id="rId97" Type="http://schemas.openxmlformats.org/officeDocument/2006/relationships/hyperlink" Target="https://projectcatalyst.io/funds/14/cardano-use-cases-partners-and-products/cardania-20-your-ai-guide-to-governance" TargetMode="External"/><Relationship Id="rId96" Type="http://schemas.openxmlformats.org/officeDocument/2006/relationships/hyperlink" Target="https://projectcatalyst.io/funds/14/cardano-use-cases-partners-and-products/levvy-v3-phase-2-stakegov-pooled-and-leverage" TargetMode="External"/><Relationship Id="rId11" Type="http://schemas.openxmlformats.org/officeDocument/2006/relationships/hyperlink" Target="https://projectcatalyst.io/funds/14/cardano-use-cases-partners-and-products/real-world-adoption-cardano-payments-in-vending-machines" TargetMode="External"/><Relationship Id="rId99" Type="http://schemas.openxmlformats.org/officeDocument/2006/relationships/hyperlink" Target="https://projectcatalyst.io/funds/14/cardano-use-cases-partners-and-products/cardano-kit-for-state-organisations-behub-healthcare-dept" TargetMode="External"/><Relationship Id="rId10" Type="http://schemas.openxmlformats.org/officeDocument/2006/relationships/hyperlink" Target="https://projectcatalyst.io/funds/14/cardano-use-cases-partners-and-products/masumi-ai-agent-network-20-by-serviceplan-group" TargetMode="External"/><Relationship Id="rId98" Type="http://schemas.openxmlformats.org/officeDocument/2006/relationships/hyperlink" Target="https://projectcatalyst.io/funds/14/cardano-use-cases-partners-and-products/oya-busride-ada-transit-tickets-manifest-and-welfare-system" TargetMode="External"/><Relationship Id="rId13" Type="http://schemas.openxmlformats.org/officeDocument/2006/relationships/hyperlink" Target="https://projectcatalyst.io/funds/14/cardano-use-cases-partners-and-products/onboard-50000-nigerian-farmers-for-compliant-traceability" TargetMode="External"/><Relationship Id="rId12" Type="http://schemas.openxmlformats.org/officeDocument/2006/relationships/hyperlink" Target="https://projectcatalyst.io/funds/14/cardano-use-cases-partners-and-products/junctionfi-ctrl-wallet-cardano-expand-to-22-blockchains" TargetMode="External"/><Relationship Id="rId91" Type="http://schemas.openxmlformats.org/officeDocument/2006/relationships/hyperlink" Target="https://projectcatalyst.io/funds/14/cardano-use-cases-partners-and-products/axiom-like-advanced-cardano-trading-platform-by-dexhunter" TargetMode="External"/><Relationship Id="rId90" Type="http://schemas.openxmlformats.org/officeDocument/2006/relationships/hyperlink" Target="https://projectcatalyst.io/funds/14/cardano-use-cases-partners-and-products/pubweave-decentralized-peer-reviews" TargetMode="External"/><Relationship Id="rId93" Type="http://schemas.openxmlformats.org/officeDocument/2006/relationships/hyperlink" Target="https://projectcatalyst.io/funds/14/cardano-use-cases-partners-and-products/driving-mainstream-cardano-adoption-via-soccer-w-miami-fc" TargetMode="External"/><Relationship Id="rId92" Type="http://schemas.openxmlformats.org/officeDocument/2006/relationships/hyperlink" Target="https://projectcatalyst.io/funds/14/cardano-use-cases-partners-and-products/vyfi-auto-harvester" TargetMode="External"/><Relationship Id="rId15" Type="http://schemas.openxmlformats.org/officeDocument/2006/relationships/hyperlink" Target="https://projectcatalyst.io/funds/14/cardano-use-cases-partners-and-products/ledger-live-drep-delegation-support" TargetMode="External"/><Relationship Id="rId14" Type="http://schemas.openxmlformats.org/officeDocument/2006/relationships/hyperlink" Target="https://projectcatalyst.io/funds/14/cardano-use-cases-partners-and-products/snekbot-sundaelabs-non-custodial-trading-using-strategies" TargetMode="External"/><Relationship Id="rId17" Type="http://schemas.openxmlformats.org/officeDocument/2006/relationships/hyperlink" Target="https://projectcatalyst.io/funds/14/cardano-use-cases-partners-and-products/vespr-keyless-self-custody-without-seed-phrases" TargetMode="External"/><Relationship Id="rId16" Type="http://schemas.openxmlformats.org/officeDocument/2006/relationships/hyperlink" Target="https://projectcatalyst.io/funds/14/cardano-use-cases-partners-and-products/japanese-government-funded-ai-chat-platform-with-fujitsu" TargetMode="External"/><Relationship Id="rId19" Type="http://schemas.openxmlformats.org/officeDocument/2006/relationships/hyperlink" Target="https://projectcatalyst.io/funds/14/cardano-use-cases-partners-and-products/onchain-analytics-for-the-cardano-ecosystem" TargetMode="External"/><Relationship Id="rId18" Type="http://schemas.openxmlformats.org/officeDocument/2006/relationships/hyperlink" Target="https://projectcatalyst.io/funds/14/cardano-use-cases-partners-and-products/stable-cardano-fast-and-feeless-usdt-interopability" TargetMode="External"/><Relationship Id="rId84" Type="http://schemas.openxmlformats.org/officeDocument/2006/relationships/hyperlink" Target="https://projectcatalyst.io/funds/14/cardano-use-cases-partners-and-products/rainforest-alliance-blockchain-traceability-pilot" TargetMode="External"/><Relationship Id="rId83" Type="http://schemas.openxmlformats.org/officeDocument/2006/relationships/hyperlink" Target="https://projectcatalyst.io/funds/14/cardano-use-cases-partners-and-products/integrating-usda-with-zerohash-to-access-tradfi-institutions" TargetMode="External"/><Relationship Id="rId86" Type="http://schemas.openxmlformats.org/officeDocument/2006/relationships/hyperlink" Target="https://projectcatalyst.io/funds/14/cardano-use-cases-partners-and-products/cardano-trade-to-earn-hub-powered-by-iagon-and-farmroll" TargetMode="External"/><Relationship Id="rId85" Type="http://schemas.openxmlformats.org/officeDocument/2006/relationships/hyperlink" Target="https://projectcatalyst.io/funds/14/cardano-use-cases-partners-and-products/cardano-warriors-driving-cardano-adoption-via-epic-games" TargetMode="External"/><Relationship Id="rId88" Type="http://schemas.openxmlformats.org/officeDocument/2006/relationships/hyperlink" Target="https://projectcatalyst.io/funds/14/cardano-use-cases-partners-and-products/adansie-asset-management-system-adansie-evidence-in-twi" TargetMode="External"/><Relationship Id="rId87" Type="http://schemas.openxmlformats.org/officeDocument/2006/relationships/hyperlink" Target="https://projectcatalyst.io/funds/14/cardano-use-cases-partners-and-products/blockchain-based-product-distribution-tracking" TargetMode="External"/><Relationship Id="rId89" Type="http://schemas.openxmlformats.org/officeDocument/2006/relationships/hyperlink" Target="https://projectcatalyst.io/funds/14/cardano-use-cases-partners-and-products/dexhunter-gamify-enhancing-user-engagement-via-gamification" TargetMode="External"/><Relationship Id="rId80" Type="http://schemas.openxmlformats.org/officeDocument/2006/relationships/hyperlink" Target="https://projectcatalyst.io/funds/14/cardano-use-cases-partners-and-products/scaling-cardano-adoption-via-k-12-financial-edtech-platform" TargetMode="External"/><Relationship Id="rId82" Type="http://schemas.openxmlformats.org/officeDocument/2006/relationships/hyperlink" Target="https://projectcatalyst.io/funds/14/cardano-use-cases-partners-and-products/base-and-ink-connecting-exchange-environments-to-cnts" TargetMode="External"/><Relationship Id="rId81" Type="http://schemas.openxmlformats.org/officeDocument/2006/relationships/hyperlink" Target="https://projectcatalyst.io/funds/14/cardano-use-cases-partners-and-products/space-and-time-secure-enterprise-data-for-cardano" TargetMode="External"/><Relationship Id="rId1" Type="http://schemas.openxmlformats.org/officeDocument/2006/relationships/hyperlink" Target="https://projectcatalyst.io/funds/14/cardano-use-cases-partners-and-products/bifrost-bitcoin-cardano-bridge-secured-by-cardano-spos" TargetMode="External"/><Relationship Id="rId2" Type="http://schemas.openxmlformats.org/officeDocument/2006/relationships/hyperlink" Target="https://projectcatalyst.io/funds/14/cardano-use-cases-partners-and-products/cardanos-first-end-to-end-metal-and-minerals-rwa-ecosystem" TargetMode="External"/><Relationship Id="rId3" Type="http://schemas.openxmlformats.org/officeDocument/2006/relationships/hyperlink" Target="https://projectcatalyst.io/funds/14/cardano-use-cases-partners-and-products/leverage-trading-with-marketlimit-orders-on-minswap" TargetMode="External"/><Relationship Id="rId4" Type="http://schemas.openxmlformats.org/officeDocument/2006/relationships/hyperlink" Target="https://projectcatalyst.io/funds/14/cardano-use-cases-partners-and-products/charli3-open-source-oracle-marketplace-and-launchpad" TargetMode="External"/><Relationship Id="rId9" Type="http://schemas.openxmlformats.org/officeDocument/2006/relationships/hyperlink" Target="https://projectcatalyst.io/funds/14/cardano-use-cases-partners-and-products/aira-hydra-loyalty-and-crypto-for-regional-revitalization" TargetMode="External"/><Relationship Id="rId5" Type="http://schemas.openxmlformats.org/officeDocument/2006/relationships/hyperlink" Target="https://projectcatalyst.io/funds/14/cardano-use-cases-partners-and-products/indigo-v3-cnt-backed-collateral-for-indigo-cdps" TargetMode="External"/><Relationship Id="rId6" Type="http://schemas.openxmlformats.org/officeDocument/2006/relationships/hyperlink" Target="https://projectcatalyst.io/funds/14/cardano-use-cases-partners-and-products/indianchain-indian-governments-10m-settlements-on-cardano" TargetMode="External"/><Relationship Id="rId7" Type="http://schemas.openxmlformats.org/officeDocument/2006/relationships/hyperlink" Target="https://projectcatalyst.io/funds/14/cardano-use-cases-partners-and-products/bringing-multi-chain-users-from-ctrl-wallet-into-cardano" TargetMode="External"/><Relationship Id="rId8" Type="http://schemas.openxmlformats.org/officeDocument/2006/relationships/hyperlink" Target="https://projectcatalyst.io/funds/14/cardano-use-cases-partners-and-products/cardano-corporate-poc-lab-japan-powered-by-antler-ibex" TargetMode="External"/><Relationship Id="rId73" Type="http://schemas.openxmlformats.org/officeDocument/2006/relationships/hyperlink" Target="https://projectcatalyst.io/funds/14/cardano-use-cases-partners-and-products/tapdano-and-petrobras-hydra-and-nfc-presence-tracking-system" TargetMode="External"/><Relationship Id="rId72" Type="http://schemas.openxmlformats.org/officeDocument/2006/relationships/hyperlink" Target="https://projectcatalyst.io/funds/14/cardano-use-cases-partners-and-products/tokenized-co-commitments-via-plastiks-platform" TargetMode="External"/><Relationship Id="rId75" Type="http://schemas.openxmlformats.org/officeDocument/2006/relationships/hyperlink" Target="https://projectcatalyst.io/funds/14/cardano-use-cases-partners-and-products/bankfi-asset-backed-launches-enabling-project-longevity" TargetMode="External"/><Relationship Id="rId74" Type="http://schemas.openxmlformats.org/officeDocument/2006/relationships/hyperlink" Target="https://projectcatalyst.io/funds/14/cardano-use-cases-partners-and-products/dexhunter-advanced-order-types" TargetMode="External"/><Relationship Id="rId77" Type="http://schemas.openxmlformats.org/officeDocument/2006/relationships/hyperlink" Target="https://projectcatalyst.io/funds/14/cardano-use-cases-partners-and-products/mlabs-j50-ventures-playrz-responsible-p2p-sports-platform" TargetMode="External"/><Relationship Id="rId76" Type="http://schemas.openxmlformats.org/officeDocument/2006/relationships/hyperlink" Target="https://projectcatalyst.io/funds/14/cardano-use-cases-partners-and-products/trustswapts-storm-and-mlabs-cardano-ts-integration-wl" TargetMode="External"/><Relationship Id="rId79" Type="http://schemas.openxmlformats.org/officeDocument/2006/relationships/hyperlink" Target="https://projectcatalyst.io/funds/14/cardano-use-cases-partners-and-products/bodega-market-v4-central-limit-order-book-clob" TargetMode="External"/><Relationship Id="rId78" Type="http://schemas.openxmlformats.org/officeDocument/2006/relationships/hyperlink" Target="https://projectcatalyst.io/funds/14/cardano-use-cases-partners-and-products/lootmogulorsuperathleteai-aitokenized-sports-ip-on-cardano" TargetMode="External"/><Relationship Id="rId71" Type="http://schemas.openxmlformats.org/officeDocument/2006/relationships/hyperlink" Target="https://projectcatalyst.io/funds/14/cardano-use-cases-partners-and-products/steelswap-v2" TargetMode="External"/><Relationship Id="rId70" Type="http://schemas.openxmlformats.org/officeDocument/2006/relationships/hyperlink" Target="https://projectcatalyst.io/funds/14/cardano-use-cases-partners-and-products/institutional-staking-and-governance-via-colossus-hub" TargetMode="External"/><Relationship Id="rId62" Type="http://schemas.openxmlformats.org/officeDocument/2006/relationships/hyperlink" Target="https://projectcatalyst.io/funds/14/cardano-use-cases-partners-and-products/ascent-rivals-onboarding-next-million-users" TargetMode="External"/><Relationship Id="rId61" Type="http://schemas.openxmlformats.org/officeDocument/2006/relationships/hyperlink" Target="https://projectcatalyst.io/funds/14/cardano-use-cases-partners-and-products/layerzero-support-on-cardano-testnets" TargetMode="External"/><Relationship Id="rId64" Type="http://schemas.openxmlformats.org/officeDocument/2006/relationships/hyperlink" Target="https://projectcatalyst.io/funds/14/cardano-use-cases-partners-and-products/wineopsys-via-originate-erp-with-supply-chain-tracking" TargetMode="External"/><Relationship Id="rId63" Type="http://schemas.openxmlformats.org/officeDocument/2006/relationships/hyperlink" Target="https://projectcatalyst.io/funds/14/cardano-use-cases-partners-and-products/eur-stablecoin-on-cardano-fiat-backed-and-mica-compliant" TargetMode="External"/><Relationship Id="rId66" Type="http://schemas.openxmlformats.org/officeDocument/2006/relationships/hyperlink" Target="https://projectcatalyst.io/funds/14/cardano-use-cases-partners-and-products/cross-chain-defi-perpetuals-and-lending-pondora" TargetMode="External"/><Relationship Id="rId65" Type="http://schemas.openxmlformats.org/officeDocument/2006/relationships/hyperlink" Target="https://projectcatalyst.io/funds/14/cardano-use-cases-partners-and-products/enterprise-grade-verifiable-database300x-cheaper-99percentfaster" TargetMode="External"/><Relationship Id="rId68" Type="http://schemas.openxmlformats.org/officeDocument/2006/relationships/hyperlink" Target="https://projectcatalyst.io/funds/14/cardano-use-cases-partners-and-products/space-and-time-deploying-thousands-of-mini-apps-to-cardano" TargetMode="External"/><Relationship Id="rId67" Type="http://schemas.openxmlformats.org/officeDocument/2006/relationships/hyperlink" Target="https://projectcatalyst.io/funds/14/cardano-use-cases-partners-and-products/climateaid-tokenized-resilience-and-early-action" TargetMode="External"/><Relationship Id="rId60" Type="http://schemas.openxmlformats.org/officeDocument/2006/relationships/hyperlink" Target="https://projectcatalyst.io/funds/14/cardano-use-cases-partners-and-products/bridge-between-cardano-polkadot-ethereum-and-its-l2s" TargetMode="External"/><Relationship Id="rId69" Type="http://schemas.openxmlformats.org/officeDocument/2006/relationships/hyperlink" Target="https://projectcatalyst.io/funds/14/cardano-use-cases-partners-and-products/connecting-to-solana-via-rosenbridge" TargetMode="External"/><Relationship Id="rId51" Type="http://schemas.openxmlformats.org/officeDocument/2006/relationships/hyperlink" Target="https://projectcatalyst.io/funds/14/cardano-use-cases-partners-and-products/whitelabel-hydra-auctions-for-gaming-and-defi-mlabs-ikigai" TargetMode="External"/><Relationship Id="rId50" Type="http://schemas.openxmlformats.org/officeDocument/2006/relationships/hyperlink" Target="https://projectcatalyst.io/funds/14/cardano-use-cases-partners-and-products/one-click-insurance-for-transactions-oncardano-chain-and-dapps" TargetMode="External"/><Relationship Id="rId53" Type="http://schemas.openxmlformats.org/officeDocument/2006/relationships/hyperlink" Target="https://projectcatalyst.io/funds/14/cardano-use-cases-partners-and-products/nunet-decentralized-spo-computing-scalingandexpansion" TargetMode="External"/><Relationship Id="rId52" Type="http://schemas.openxmlformats.org/officeDocument/2006/relationships/hyperlink" Target="https://projectcatalyst.io/funds/14/cardano-use-cases-partners-and-products/armenia-country-level-waste-system-with-plastiksio" TargetMode="External"/><Relationship Id="rId55" Type="http://schemas.openxmlformats.org/officeDocument/2006/relationships/hyperlink" Target="https://projectcatalyst.io/funds/14/cardano-use-cases-partners-and-products/commercial-bank-money-token-cbmt-on-cardano" TargetMode="External"/><Relationship Id="rId54" Type="http://schemas.openxmlformats.org/officeDocument/2006/relationships/hyperlink" Target="https://projectcatalyst.io/funds/14/cardano-use-cases-partners-and-products/smartmerchtm-on-cardano-bringing-onchain-rwa-to-daily-life" TargetMode="External"/><Relationship Id="rId57" Type="http://schemas.openxmlformats.org/officeDocument/2006/relationships/hyperlink" Target="https://projectcatalyst.io/funds/14/cardano-use-cases-partners-and-products/juicychain-tracing-the-global-juice-supply-chain-on-cardano" TargetMode="External"/><Relationship Id="rId56" Type="http://schemas.openxmlformats.org/officeDocument/2006/relationships/hyperlink" Target="https://projectcatalyst.io/funds/14/cardano-use-cases-partners-and-products/bikeid-proof-of-bike-millions-of-bikes-registered-on-cardano" TargetMode="External"/><Relationship Id="rId59" Type="http://schemas.openxmlformats.org/officeDocument/2006/relationships/hyperlink" Target="https://projectcatalyst.io/funds/14/cardano-use-cases-partners-and-products/malama-carbon-universal-dmrv-infrastructure-on-cardano" TargetMode="External"/><Relationship Id="rId58" Type="http://schemas.openxmlformats.org/officeDocument/2006/relationships/hyperlink" Target="https://projectcatalyst.io/funds/14/cardano-use-cases-partners-and-products/hydra-powered-ev-battery-dpp-privacy-transparency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projectcatalyst.io/funds/14/cardano-use-cases-concepts/vaulti-the-multi-auth-cardano-vault" TargetMode="External"/><Relationship Id="rId194" Type="http://schemas.openxmlformats.org/officeDocument/2006/relationships/hyperlink" Target="https://projectcatalyst.io/funds/14/cardano-use-cases-concepts/br0x-non-custodial-bridgeless-swaps-cardano-evm" TargetMode="External"/><Relationship Id="rId193" Type="http://schemas.openxmlformats.org/officeDocument/2006/relationships/hyperlink" Target="https://projectcatalyst.io/funds/14/cardano-use-cases-concepts/anonymous-transactions-building-cardanos-privacy-infra" TargetMode="External"/><Relationship Id="rId192" Type="http://schemas.openxmlformats.org/officeDocument/2006/relationships/hyperlink" Target="https://projectcatalyst.io/funds/14/cardano-use-cases-concepts/markado-the-smart-bot-for-centralized-shopping-on-telegram" TargetMode="External"/><Relationship Id="rId191" Type="http://schemas.openxmlformats.org/officeDocument/2006/relationships/hyperlink" Target="https://projectcatalyst.io/funds/14/cardano-use-cases-concepts/k33p-or-self-custodial-digital-vault" TargetMode="External"/><Relationship Id="rId187" Type="http://schemas.openxmlformats.org/officeDocument/2006/relationships/hyperlink" Target="https://projectcatalyst.io/funds/14/cardano-use-cases-concepts/ethiomarket-dapp-decentralized-e-commerce-for-ethiopia" TargetMode="External"/><Relationship Id="rId186" Type="http://schemas.openxmlformats.org/officeDocument/2006/relationships/hyperlink" Target="https://projectcatalyst.io/funds/14/cardano-use-cases-concepts/sentiant-ro-romanian-ai-agent-on-masumi-network" TargetMode="External"/><Relationship Id="rId185" Type="http://schemas.openxmlformats.org/officeDocument/2006/relationships/hyperlink" Target="https://projectcatalyst.io/funds/14/cardano-use-cases-concepts/infoactiongovaction-as-a-service" TargetMode="External"/><Relationship Id="rId184" Type="http://schemas.openxmlformats.org/officeDocument/2006/relationships/hyperlink" Target="https://projectcatalyst.io/funds/14/cardano-use-cases-concepts/smart-agriculture-and-product-traceability-with-iot-on-cardano" TargetMode="External"/><Relationship Id="rId189" Type="http://schemas.openxmlformats.org/officeDocument/2006/relationships/hyperlink" Target="https://projectcatalyst.io/funds/14/cardano-use-cases-concepts/cattle-lifecycle-tracking-for-export-compliance" TargetMode="External"/><Relationship Id="rId188" Type="http://schemas.openxmlformats.org/officeDocument/2006/relationships/hyperlink" Target="https://projectcatalyst.io/funds/14/cardano-use-cases-concepts/m9-privacy-voting-app-privacy-dao-for-cardano-native-asset" TargetMode="External"/><Relationship Id="rId183" Type="http://schemas.openxmlformats.org/officeDocument/2006/relationships/hyperlink" Target="https://projectcatalyst.io/funds/14/cardano-use-cases-concepts/blockchain-verified-feed-for-dairy-productivity-in-ethiopia" TargetMode="External"/><Relationship Id="rId182" Type="http://schemas.openxmlformats.org/officeDocument/2006/relationships/hyperlink" Target="https://projectcatalyst.io/funds/14/cardano-use-cases-concepts/compliant-high-yield-rwa-tokenization" TargetMode="External"/><Relationship Id="rId181" Type="http://schemas.openxmlformats.org/officeDocument/2006/relationships/hyperlink" Target="https://projectcatalyst.io/funds/14/cardano-use-cases-concepts/quality-assurance-on-chain-and-off-chain-audit" TargetMode="External"/><Relationship Id="rId180" Type="http://schemas.openxmlformats.org/officeDocument/2006/relationships/hyperlink" Target="https://projectcatalyst.io/funds/14/cardano-use-cases-concepts/fairmint-tickets-antiscalping-ticketing-on-cardano" TargetMode="External"/><Relationship Id="rId176" Type="http://schemas.openxmlformats.org/officeDocument/2006/relationships/hyperlink" Target="https://projectcatalyst.io/funds/14/cardano-use-cases-concepts/nft-membership-pass-for-fine-dining-perks" TargetMode="External"/><Relationship Id="rId297" Type="http://schemas.openxmlformats.org/officeDocument/2006/relationships/hyperlink" Target="https://projectcatalyst.io/funds/14/cardano-use-cases-concepts/ai-swarm-consensus-building-humanitys-memory-layer" TargetMode="External"/><Relationship Id="rId175" Type="http://schemas.openxmlformats.org/officeDocument/2006/relationships/hyperlink" Target="https://projectcatalyst.io/funds/14/cardano-use-cases-concepts/proof-of-reality-iot-data-anchored-on-cardano" TargetMode="External"/><Relationship Id="rId296" Type="http://schemas.openxmlformats.org/officeDocument/2006/relationships/hyperlink" Target="https://projectcatalyst.io/funds/14/cardano-use-cases-concepts/decentralized-crowdfunding-dapp-for-transparent-funding" TargetMode="External"/><Relationship Id="rId174" Type="http://schemas.openxmlformats.org/officeDocument/2006/relationships/hyperlink" Target="https://projectcatalyst.io/funds/14/cardano-use-cases-concepts/ecosystem-mapping-for-community-led-utility-and-layer-2" TargetMode="External"/><Relationship Id="rId295" Type="http://schemas.openxmlformats.org/officeDocument/2006/relationships/hyperlink" Target="https://projectcatalyst.io/funds/14/cardano-use-cases-concepts/talendro-decentralized-freelance-marketplace-with-staking" TargetMode="External"/><Relationship Id="rId173" Type="http://schemas.openxmlformats.org/officeDocument/2006/relationships/hyperlink" Target="https://projectcatalyst.io/funds/14/cardano-use-cases-concepts/governance-kit-randd-pro-social-frameworks-or-cip" TargetMode="External"/><Relationship Id="rId294" Type="http://schemas.openxmlformats.org/officeDocument/2006/relationships/hyperlink" Target="https://projectcatalyst.io/funds/14/cardano-use-cases-concepts/cardano-agro-token-l-argentinas-grain-to-chain-solution" TargetMode="External"/><Relationship Id="rId179" Type="http://schemas.openxmlformats.org/officeDocument/2006/relationships/hyperlink" Target="https://projectcatalyst.io/funds/14/cardano-use-cases-concepts/building-the-trust-layer-for-open-source-ai-on-cardano" TargetMode="External"/><Relationship Id="rId178" Type="http://schemas.openxmlformats.org/officeDocument/2006/relationships/hyperlink" Target="https://projectcatalyst.io/funds/14/cardano-use-cases-concepts/digital-loyalty-card-for-free-funerals-cardano-nfts-rwa" TargetMode="External"/><Relationship Id="rId299" Type="http://schemas.openxmlformats.org/officeDocument/2006/relationships/hyperlink" Target="https://projectcatalyst.io/funds/14/cardano-use-cases-concepts/ai-colleague-your-projects-institutional-memory" TargetMode="External"/><Relationship Id="rId177" Type="http://schemas.openxmlformats.org/officeDocument/2006/relationships/hyperlink" Target="https://projectcatalyst.io/funds/14/cardano-use-cases-concepts/decentralized-escrow-service-on-cardano" TargetMode="External"/><Relationship Id="rId298" Type="http://schemas.openxmlformats.org/officeDocument/2006/relationships/hyperlink" Target="https://projectcatalyst.io/funds/14/cardano-use-cases-concepts/wairdrop-one-platform-endless-drops" TargetMode="External"/><Relationship Id="rId198" Type="http://schemas.openxmlformats.org/officeDocument/2006/relationships/hyperlink" Target="https://projectcatalyst.io/funds/14/cardano-use-cases-concepts/aegisgrid-blockchain-powered-energy-management" TargetMode="External"/><Relationship Id="rId197" Type="http://schemas.openxmlformats.org/officeDocument/2006/relationships/hyperlink" Target="https://projectcatalyst.io/funds/14/cardano-use-cases-concepts/cardanoswipetiktok-style-dapp-swipe-share-earn-vote" TargetMode="External"/><Relationship Id="rId196" Type="http://schemas.openxmlformats.org/officeDocument/2006/relationships/hyperlink" Target="https://projectcatalyst.io/funds/14/cardano-use-cases-concepts/plant-passport-30" TargetMode="External"/><Relationship Id="rId195" Type="http://schemas.openxmlformats.org/officeDocument/2006/relationships/hyperlink" Target="https://projectcatalyst.io/funds/14/cardano-use-cases-concepts/cardanos-ai-risk-engineon-chain-analytics-tokeo-x-zarklab" TargetMode="External"/><Relationship Id="rId199" Type="http://schemas.openxmlformats.org/officeDocument/2006/relationships/hyperlink" Target="https://projectcatalyst.io/funds/14/cardano-use-cases-concepts/agrilcture-marketplace-with-bidding-and-verified-id" TargetMode="External"/><Relationship Id="rId150" Type="http://schemas.openxmlformats.org/officeDocument/2006/relationships/hyperlink" Target="https://projectcatalyst.io/funds/14/cardano-use-cases-concepts/digital-owners-handbook-a-digital-passport-for-vehicles" TargetMode="External"/><Relationship Id="rId271" Type="http://schemas.openxmlformats.org/officeDocument/2006/relationships/hyperlink" Target="https://projectcatalyst.io/funds/14/cardano-use-cases-concepts/build-a-dex-aggregator-on-cardano" TargetMode="External"/><Relationship Id="rId392" Type="http://schemas.openxmlformats.org/officeDocument/2006/relationships/hyperlink" Target="https://projectcatalyst.io/funds/14/cardano-use-cases-concepts/tribes-the-new-social-network-for-africa" TargetMode="External"/><Relationship Id="rId270" Type="http://schemas.openxmlformats.org/officeDocument/2006/relationships/hyperlink" Target="https://projectcatalyst.io/funds/14/cardano-use-cases-concepts/cardano-catalyst-projects-metrics-and-insights" TargetMode="External"/><Relationship Id="rId391" Type="http://schemas.openxmlformats.org/officeDocument/2006/relationships/hyperlink" Target="https://projectcatalyst.io/funds/14/cardano-use-cases-concepts/birthbond-ussd-ai-voice-birth-registration-on-cardano" TargetMode="External"/><Relationship Id="rId390" Type="http://schemas.openxmlformats.org/officeDocument/2006/relationships/hyperlink" Target="https://projectcatalyst.io/funds/14/cardano-use-cases-concepts/cardano-woman-onchain-job-marketplace-indonesia" TargetMode="External"/><Relationship Id="rId1" Type="http://schemas.openxmlformats.org/officeDocument/2006/relationships/hyperlink" Target="https://projectcatalyst.io/funds/14/cardano-use-cases-concepts/activating-ipdc-blockchain-through-real-broadcasting-waves" TargetMode="External"/><Relationship Id="rId2" Type="http://schemas.openxmlformats.org/officeDocument/2006/relationships/hyperlink" Target="https://projectcatalyst.io/funds/14/cardano-use-cases-concepts/integration-of-dia-price-oracles-on-cardano" TargetMode="External"/><Relationship Id="rId3" Type="http://schemas.openxmlformats.org/officeDocument/2006/relationships/hyperlink" Target="https://projectcatalyst.io/funds/14/cardano-use-cases-concepts/mirai-memories-bank-project-echoes-of-the-heart" TargetMode="External"/><Relationship Id="rId149" Type="http://schemas.openxmlformats.org/officeDocument/2006/relationships/hyperlink" Target="https://projectcatalyst.io/funds/14/cardano-use-cases-concepts/drep-voting-management-platformyour-ai-congressional-staff" TargetMode="External"/><Relationship Id="rId4" Type="http://schemas.openxmlformats.org/officeDocument/2006/relationships/hyperlink" Target="https://projectcatalyst.io/funds/14/cardano-use-cases-concepts/hydra-minecraft" TargetMode="External"/><Relationship Id="rId148" Type="http://schemas.openxmlformats.org/officeDocument/2006/relationships/hyperlink" Target="https://projectcatalyst.io/funds/14/cardano-use-cases-concepts/unikron-an-intent-based-meta-dex-aggregator" TargetMode="External"/><Relationship Id="rId269" Type="http://schemas.openxmlformats.org/officeDocument/2006/relationships/hyperlink" Target="https://projectcatalyst.io/funds/14/cardano-use-cases-concepts/echosafe-a-cardano-dapp-securing-medical-and-mental-health" TargetMode="External"/><Relationship Id="rId9" Type="http://schemas.openxmlformats.org/officeDocument/2006/relationships/hyperlink" Target="https://projectcatalyst.io/funds/14/cardano-use-cases-concepts/trace-it-driving-mass-adoption-via-universal-traceability" TargetMode="External"/><Relationship Id="rId143" Type="http://schemas.openxmlformats.org/officeDocument/2006/relationships/hyperlink" Target="https://projectcatalyst.io/funds/14/cardano-use-cases-concepts/hydra-youth-hub-digital-access-and-blockchain-learning" TargetMode="External"/><Relationship Id="rId264" Type="http://schemas.openxmlformats.org/officeDocument/2006/relationships/hyperlink" Target="https://projectcatalyst.io/funds/14/cardano-use-cases-concepts/privateproof-anonymous-attendance-verifier" TargetMode="External"/><Relationship Id="rId385" Type="http://schemas.openxmlformats.org/officeDocument/2006/relationships/hyperlink" Target="https://projectcatalyst.io/funds/14/cardano-use-cases-concepts/cardano-learnfi-a-circular-economy-for-education-thrive" TargetMode="External"/><Relationship Id="rId142" Type="http://schemas.openxmlformats.org/officeDocument/2006/relationships/hyperlink" Target="https://projectcatalyst.io/funds/14/cardano-use-cases-concepts/cardano-ada-payments-for-african-businesses" TargetMode="External"/><Relationship Id="rId263" Type="http://schemas.openxmlformats.org/officeDocument/2006/relationships/hyperlink" Target="https://projectcatalyst.io/funds/14/cardano-use-cases-concepts/oracle-for-interest-rate-derivatives" TargetMode="External"/><Relationship Id="rId384" Type="http://schemas.openxmlformats.org/officeDocument/2006/relationships/hyperlink" Target="https://projectcatalyst.io/funds/14/cardano-use-cases-concepts/credence" TargetMode="External"/><Relationship Id="rId141" Type="http://schemas.openxmlformats.org/officeDocument/2006/relationships/hyperlink" Target="https://projectcatalyst.io/funds/14/cardano-use-cases-concepts/margindex-amm-for-interest-rate-derivatives" TargetMode="External"/><Relationship Id="rId262" Type="http://schemas.openxmlformats.org/officeDocument/2006/relationships/hyperlink" Target="https://projectcatalyst.io/funds/14/cardano-use-cases-concepts/greensnap-rewarding-green-actions-with-cardano-blockchain" TargetMode="External"/><Relationship Id="rId383" Type="http://schemas.openxmlformats.org/officeDocument/2006/relationships/hyperlink" Target="https://projectcatalyst.io/funds/14/cardano-use-cases-concepts/improve-dao-decision-making-processes-and-decision-quality" TargetMode="External"/><Relationship Id="rId140" Type="http://schemas.openxmlformats.org/officeDocument/2006/relationships/hyperlink" Target="https://projectcatalyst.io/funds/14/cardano-use-cases-concepts/common-ledger-a-cardano-based-cooperative-finance-model" TargetMode="External"/><Relationship Id="rId261" Type="http://schemas.openxmlformats.org/officeDocument/2006/relationships/hyperlink" Target="https://projectcatalyst.io/funds/14/cardano-use-cases-concepts/entire-cocktail-bar-equity-as-cardano-rwas-sova-hanoi" TargetMode="External"/><Relationship Id="rId382" Type="http://schemas.openxmlformats.org/officeDocument/2006/relationships/hyperlink" Target="https://projectcatalyst.io/funds/14/cardano-use-cases-concepts/expertsway-cardano-credentials-for-ethiopian-devs" TargetMode="External"/><Relationship Id="rId5" Type="http://schemas.openxmlformats.org/officeDocument/2006/relationships/hyperlink" Target="https://projectcatalyst.io/funds/14/cardano-use-cases-concepts/vespr-ai-bridge-to-cardano-or-for-claude-gpt-and-ai-agents" TargetMode="External"/><Relationship Id="rId147" Type="http://schemas.openxmlformats.org/officeDocument/2006/relationships/hyperlink" Target="https://projectcatalyst.io/funds/14/cardano-use-cases-concepts/cardanoblockchain-literacy-for-ca-policymakers" TargetMode="External"/><Relationship Id="rId268" Type="http://schemas.openxmlformats.org/officeDocument/2006/relationships/hyperlink" Target="https://projectcatalyst.io/funds/14/cardano-use-cases-concepts/cardano-research-hub-a-collaborative-platform-on-cardano" TargetMode="External"/><Relationship Id="rId389" Type="http://schemas.openxmlformats.org/officeDocument/2006/relationships/hyperlink" Target="https://projectcatalyst.io/funds/14/cardano-use-cases-concepts/mulucard-pro-nfc-business-and-id-cards-on-cardano" TargetMode="External"/><Relationship Id="rId6" Type="http://schemas.openxmlformats.org/officeDocument/2006/relationships/hyperlink" Target="https://projectcatalyst.io/funds/14/cardano-use-cases-concepts/a-token-incentivized-mental-health-ecosystem-using-did" TargetMode="External"/><Relationship Id="rId146" Type="http://schemas.openxmlformats.org/officeDocument/2006/relationships/hyperlink" Target="https://projectcatalyst.io/funds/14/cardano-use-cases-concepts/smart-interactive-and-decentralize-edtech-platform-on-cardano" TargetMode="External"/><Relationship Id="rId267" Type="http://schemas.openxmlformats.org/officeDocument/2006/relationships/hyperlink" Target="https://projectcatalyst.io/funds/14/cardano-use-cases-concepts/pooling-platform-for-100k-ada-ga-deposit-by-dquadrant" TargetMode="External"/><Relationship Id="rId388" Type="http://schemas.openxmlformats.org/officeDocument/2006/relationships/hyperlink" Target="https://projectcatalyst.io/funds/14/cardano-use-cases-concepts/viridian-mosaic-reward-environmental-impact" TargetMode="External"/><Relationship Id="rId7" Type="http://schemas.openxmlformats.org/officeDocument/2006/relationships/hyperlink" Target="https://projectcatalyst.io/funds/14/cardano-use-cases-concepts/midnightzk-data-marketplace-for-authentic-human-data-nuauth" TargetMode="External"/><Relationship Id="rId145" Type="http://schemas.openxmlformats.org/officeDocument/2006/relationships/hyperlink" Target="https://projectcatalyst.io/funds/14/cardano-use-cases-concepts/eko-chain-a-proof-of-impact-protocol-for-circular-economies" TargetMode="External"/><Relationship Id="rId266" Type="http://schemas.openxmlformats.org/officeDocument/2006/relationships/hyperlink" Target="https://projectcatalyst.io/funds/14/cardano-use-cases-concepts/compliance-layer-to-onboard-dollar100-trillion-securities-market" TargetMode="External"/><Relationship Id="rId387" Type="http://schemas.openxmlformats.org/officeDocument/2006/relationships/hyperlink" Target="https://projectcatalyst.io/funds/14/cardano-use-cases-concepts/zapcoin-x-calone-cardano-powered-student-engagement-token" TargetMode="External"/><Relationship Id="rId8" Type="http://schemas.openxmlformats.org/officeDocument/2006/relationships/hyperlink" Target="https://projectcatalyst.io/funds/14/cardano-use-cases-concepts/anti-front-running-zkperps-on-cardano-wmidnightzk" TargetMode="External"/><Relationship Id="rId144" Type="http://schemas.openxmlformats.org/officeDocument/2006/relationships/hyperlink" Target="https://projectcatalyst.io/funds/14/cardano-use-cases-concepts/retrai-ai-recruitment-platform-with-cardano-verified-trust" TargetMode="External"/><Relationship Id="rId265" Type="http://schemas.openxmlformats.org/officeDocument/2006/relationships/hyperlink" Target="https://projectcatalyst.io/funds/14/cardano-use-cases-concepts/robo-trading-asset-vaults-unlock-group-trading-and-investing" TargetMode="External"/><Relationship Id="rId386" Type="http://schemas.openxmlformats.org/officeDocument/2006/relationships/hyperlink" Target="https://projectcatalyst.io/funds/14/cardano-use-cases-concepts/mcp-server-open-eu-regulations-for-cardano" TargetMode="External"/><Relationship Id="rId260" Type="http://schemas.openxmlformats.org/officeDocument/2006/relationships/hyperlink" Target="https://projectcatalyst.io/funds/14/cardano-use-cases-concepts/scanpro-next-gen-humanitarian-track-and-trace-on-cardano" TargetMode="External"/><Relationship Id="rId381" Type="http://schemas.openxmlformats.org/officeDocument/2006/relationships/hyperlink" Target="https://projectcatalyst.io/funds/14/cardano-use-cases-concepts/healthpilot-navigat-a-new-era-in-healthcare-with-ai-and-bc" TargetMode="External"/><Relationship Id="rId380" Type="http://schemas.openxmlformats.org/officeDocument/2006/relationships/hyperlink" Target="https://projectcatalyst.io/funds/14/cardano-use-cases-concepts/bintocash-turning-waste-into-value-on-cardano" TargetMode="External"/><Relationship Id="rId139" Type="http://schemas.openxmlformats.org/officeDocument/2006/relationships/hyperlink" Target="https://projectcatalyst.io/funds/14/cardano-use-cases-concepts/adaverse-global-digital-market-place-in-the-cardano-world" TargetMode="External"/><Relationship Id="rId138" Type="http://schemas.openxmlformats.org/officeDocument/2006/relationships/hyperlink" Target="https://projectcatalyst.io/funds/14/cardano-use-cases-concepts/ai-powered-oracle-for-cardano-smart-contracts" TargetMode="External"/><Relationship Id="rId259" Type="http://schemas.openxmlformats.org/officeDocument/2006/relationships/hyperlink" Target="https://projectcatalyst.io/funds/14/cardano-use-cases-concepts/simple-secure-on-chain-voting-app-for-everyone" TargetMode="External"/><Relationship Id="rId137" Type="http://schemas.openxmlformats.org/officeDocument/2006/relationships/hyperlink" Target="https://projectcatalyst.io/funds/14/cardano-use-cases-concepts/wolfram-echofeed-dashboard" TargetMode="External"/><Relationship Id="rId258" Type="http://schemas.openxmlformats.org/officeDocument/2006/relationships/hyperlink" Target="https://projectcatalyst.io/funds/14/cardano-use-cases-concepts/terekaid-cardano-powered-livestock-id-and-meat-traceability" TargetMode="External"/><Relationship Id="rId379" Type="http://schemas.openxmlformats.org/officeDocument/2006/relationships/hyperlink" Target="https://projectcatalyst.io/funds/14/cardano-use-cases-concepts/one-shot-cross-chain-defi-research-testnet-mvp" TargetMode="External"/><Relationship Id="rId132" Type="http://schemas.openxmlformats.org/officeDocument/2006/relationships/hyperlink" Target="https://projectcatalyst.io/funds/14/cardano-use-cases-concepts/rosca-decentralized-savings-and-fund-pool-utilizes-cardano-sc" TargetMode="External"/><Relationship Id="rId253" Type="http://schemas.openxmlformats.org/officeDocument/2006/relationships/hyperlink" Target="https://projectcatalyst.io/funds/14/cardano-use-cases-concepts/educhain-a-decentralized-education-record-system-for-school" TargetMode="External"/><Relationship Id="rId374" Type="http://schemas.openxmlformats.org/officeDocument/2006/relationships/hyperlink" Target="https://projectcatalyst.io/funds/14/cardano-use-cases-concepts/gengree-blockchain-green-energy-tracker" TargetMode="External"/><Relationship Id="rId131" Type="http://schemas.openxmlformats.org/officeDocument/2006/relationships/hyperlink" Target="https://projectcatalyst.io/funds/14/cardano-use-cases-concepts/satellite-hardware-randd-for-cardano-and-decentralized-data-node" TargetMode="External"/><Relationship Id="rId252" Type="http://schemas.openxmlformats.org/officeDocument/2006/relationships/hyperlink" Target="https://projectcatalyst.io/funds/14/cardano-use-cases-concepts/merit-based-decentralized-repuation-engine" TargetMode="External"/><Relationship Id="rId373" Type="http://schemas.openxmlformats.org/officeDocument/2006/relationships/hyperlink" Target="https://projectcatalyst.io/funds/14/cardano-use-cases-concepts/earning-through-microtasks-a-cardano-based-earning-platform" TargetMode="External"/><Relationship Id="rId130" Type="http://schemas.openxmlformats.org/officeDocument/2006/relationships/hyperlink" Target="https://projectcatalyst.io/funds/14/cardano-use-cases-concepts/learning-midnight-and-hydra-through-a-game" TargetMode="External"/><Relationship Id="rId251" Type="http://schemas.openxmlformats.org/officeDocument/2006/relationships/hyperlink" Target="https://projectcatalyst.io/funds/14/cardano-use-cases-concepts/cardano-flipping-real-estate" TargetMode="External"/><Relationship Id="rId372" Type="http://schemas.openxmlformats.org/officeDocument/2006/relationships/hyperlink" Target="https://projectcatalyst.io/funds/14/cardano-use-cases-concepts/skillchain-learn-and-teach-with-cardano" TargetMode="External"/><Relationship Id="rId250" Type="http://schemas.openxmlformats.org/officeDocument/2006/relationships/hyperlink" Target="https://projectcatalyst.io/funds/14/cardano-use-cases-concepts/halalcert" TargetMode="External"/><Relationship Id="rId371" Type="http://schemas.openxmlformats.org/officeDocument/2006/relationships/hyperlink" Target="https://projectcatalyst.io/funds/14/cardano-use-cases-concepts/supplychainx-revolutionizing-supplychain-with-open-source-sc" TargetMode="External"/><Relationship Id="rId136" Type="http://schemas.openxmlformats.org/officeDocument/2006/relationships/hyperlink" Target="https://projectcatalyst.io/funds/14/cardano-use-cases-concepts/hatchhub-the-fundraising-platform-for-cardano-projects" TargetMode="External"/><Relationship Id="rId257" Type="http://schemas.openxmlformats.org/officeDocument/2006/relationships/hyperlink" Target="https://projectcatalyst.io/funds/14/cardano-use-cases-concepts/dollar15t-impact-capital-how-to-verify-and-attribute-this-impact" TargetMode="External"/><Relationship Id="rId378" Type="http://schemas.openxmlformats.org/officeDocument/2006/relationships/hyperlink" Target="https://projectcatalyst.io/funds/14/cardano-use-cases-concepts/real-estate-cross-border-fund-management-platform" TargetMode="External"/><Relationship Id="rId135" Type="http://schemas.openxmlformats.org/officeDocument/2006/relationships/hyperlink" Target="https://projectcatalyst.io/funds/14/cardano-use-cases-concepts/utxo-based-nft-marketplace-for-micro-communities" TargetMode="External"/><Relationship Id="rId256" Type="http://schemas.openxmlformats.org/officeDocument/2006/relationships/hyperlink" Target="https://projectcatalyst.io/funds/14/cardano-use-cases-concepts/car-dano-car-wash-car-pay" TargetMode="External"/><Relationship Id="rId377" Type="http://schemas.openxmlformats.org/officeDocument/2006/relationships/hyperlink" Target="https://projectcatalyst.io/funds/14/cardano-use-cases-concepts/subada" TargetMode="External"/><Relationship Id="rId134" Type="http://schemas.openxmlformats.org/officeDocument/2006/relationships/hyperlink" Target="https://projectcatalyst.io/funds/14/cardano-use-cases-concepts/ai-powered-cardano-ecosystem-dashboard" TargetMode="External"/><Relationship Id="rId255" Type="http://schemas.openxmlformats.org/officeDocument/2006/relationships/hyperlink" Target="https://projectcatalyst.io/funds/14/cardano-use-cases-concepts/increasing-token-utility-with-cardano-community-connect" TargetMode="External"/><Relationship Id="rId376" Type="http://schemas.openxmlformats.org/officeDocument/2006/relationships/hyperlink" Target="https://projectcatalyst.io/funds/14/cardano-use-cases-concepts/rapid-plutus-application-development-rpad-pheidippides" TargetMode="External"/><Relationship Id="rId133" Type="http://schemas.openxmlformats.org/officeDocument/2006/relationships/hyperlink" Target="https://projectcatalyst.io/funds/14/cardano-use-cases-concepts/paideia-dao-management-the-path-to-mvp-on-mainnet" TargetMode="External"/><Relationship Id="rId254" Type="http://schemas.openxmlformats.org/officeDocument/2006/relationships/hyperlink" Target="https://projectcatalyst.io/funds/14/cardano-use-cases-concepts/farm-to-table-ingredient-traceability-on-cardano" TargetMode="External"/><Relationship Id="rId375" Type="http://schemas.openxmlformats.org/officeDocument/2006/relationships/hyperlink" Target="https://projectcatalyst.io/funds/14/cardano-use-cases-concepts/cardano-native-term-life-savings-protocol" TargetMode="External"/><Relationship Id="rId172" Type="http://schemas.openxmlformats.org/officeDocument/2006/relationships/hyperlink" Target="https://projectcatalyst.io/funds/14/cardano-use-cases-concepts/bullbookie-zero-risk-sports-prediction-platform-on-cardano" TargetMode="External"/><Relationship Id="rId293" Type="http://schemas.openxmlformats.org/officeDocument/2006/relationships/hyperlink" Target="https://projectcatalyst.io/funds/14/cardano-use-cases-concepts/local-language-dao-governance-experiments" TargetMode="External"/><Relationship Id="rId171" Type="http://schemas.openxmlformats.org/officeDocument/2006/relationships/hyperlink" Target="https://projectcatalyst.io/funds/14/cardano-use-cases-concepts/village-connect-africas-first-wifi-sharing-depin" TargetMode="External"/><Relationship Id="rId292" Type="http://schemas.openxmlformats.org/officeDocument/2006/relationships/hyperlink" Target="https://projectcatalyst.io/funds/14/cardano-use-cases-concepts/blab-ai-powered-stake-pool-optimization-cardano-phase-1" TargetMode="External"/><Relationship Id="rId170" Type="http://schemas.openxmlformats.org/officeDocument/2006/relationships/hyperlink" Target="https://projectcatalyst.io/funds/14/cardano-use-cases-concepts/blab-seamless-pok-nft-learning-on-cardano-vietnam-phase-1" TargetMode="External"/><Relationship Id="rId291" Type="http://schemas.openxmlformats.org/officeDocument/2006/relationships/hyperlink" Target="https://projectcatalyst.io/funds/14/cardano-use-cases-concepts/zero-knowledge-tenant-credentials-using-veridian-didvc" TargetMode="External"/><Relationship Id="rId290" Type="http://schemas.openxmlformats.org/officeDocument/2006/relationships/hyperlink" Target="https://projectcatalyst.io/funds/14/cardano-use-cases-concepts/wordpress-module-for-tokenization-of-real-estate" TargetMode="External"/><Relationship Id="rId165" Type="http://schemas.openxmlformats.org/officeDocument/2006/relationships/hyperlink" Target="https://projectcatalyst.io/funds/14/cardano-use-cases-concepts/id7-bot-proof-identity-verification-api" TargetMode="External"/><Relationship Id="rId286" Type="http://schemas.openxmlformats.org/officeDocument/2006/relationships/hyperlink" Target="https://projectcatalyst.io/funds/14/cardano-use-cases-concepts/farmland-lease-tokenization" TargetMode="External"/><Relationship Id="rId164" Type="http://schemas.openxmlformats.org/officeDocument/2006/relationships/hyperlink" Target="https://projectcatalyst.io/funds/14/cardano-use-cases-concepts/playing-chess-on-hydra" TargetMode="External"/><Relationship Id="rId285" Type="http://schemas.openxmlformats.org/officeDocument/2006/relationships/hyperlink" Target="https://projectcatalyst.io/funds/14/cardano-use-cases-concepts/on-chain-certificates-for-training-and-education-programmes" TargetMode="External"/><Relationship Id="rId163" Type="http://schemas.openxmlformats.org/officeDocument/2006/relationships/hyperlink" Target="https://projectcatalyst.io/funds/14/cardano-use-cases-concepts/wolfram-ai-benchmarks-for-cardano" TargetMode="External"/><Relationship Id="rId284" Type="http://schemas.openxmlformats.org/officeDocument/2006/relationships/hyperlink" Target="https://projectcatalyst.io/funds/14/cardano-use-cases-concepts/cardano-alertbot-real-time-wallet-and-staking-notifications" TargetMode="External"/><Relationship Id="rId162" Type="http://schemas.openxmlformats.org/officeDocument/2006/relationships/hyperlink" Target="https://projectcatalyst.io/funds/14/cardano-use-cases-concepts/ecochain-a-paperless-solutions-on-cardano" TargetMode="External"/><Relationship Id="rId283" Type="http://schemas.openxmlformats.org/officeDocument/2006/relationships/hyperlink" Target="https://projectcatalyst.io/funds/14/cardano-use-cases-concepts/smart-contracts-knowledge-graph-llms" TargetMode="External"/><Relationship Id="rId169" Type="http://schemas.openxmlformats.org/officeDocument/2006/relationships/hyperlink" Target="https://projectcatalyst.io/funds/14/cardano-use-cases-concepts/m4w-blockchain-traceability-for-artisanal-luxury-products" TargetMode="External"/><Relationship Id="rId168" Type="http://schemas.openxmlformats.org/officeDocument/2006/relationships/hyperlink" Target="https://projectcatalyst.io/funds/14/cardano-use-cases-concepts/raffleize-on-chain-crowdfunding-raffles-and-pot-lotteries" TargetMode="External"/><Relationship Id="rId289" Type="http://schemas.openxmlformats.org/officeDocument/2006/relationships/hyperlink" Target="https://projectcatalyst.io/funds/14/cardano-use-cases-concepts/x150-valkyrie-wallet-one-touch-and-offline-pay-mnemonic-safe" TargetMode="External"/><Relationship Id="rId167" Type="http://schemas.openxmlformats.org/officeDocument/2006/relationships/hyperlink" Target="https://projectcatalyst.io/funds/14/cardano-use-cases-concepts/fida-insurance-risk-transfer-contracts-v-next" TargetMode="External"/><Relationship Id="rId288" Type="http://schemas.openxmlformats.org/officeDocument/2006/relationships/hyperlink" Target="https://projectcatalyst.io/funds/14/cardano-use-cases-concepts/gighubdecentralized-freelance-marketplace-with-ada-payments" TargetMode="External"/><Relationship Id="rId166" Type="http://schemas.openxmlformats.org/officeDocument/2006/relationships/hyperlink" Target="https://projectcatalyst.io/funds/14/cardano-use-cases-concepts/organic-networks-privacy-first-data-vault-and-dao-governance" TargetMode="External"/><Relationship Id="rId287" Type="http://schemas.openxmlformats.org/officeDocument/2006/relationships/hyperlink" Target="https://projectcatalyst.io/funds/14/cardano-use-cases-concepts/microfinance-platform-with-native-stablecoin-collateral" TargetMode="External"/><Relationship Id="rId161" Type="http://schemas.openxmlformats.org/officeDocument/2006/relationships/hyperlink" Target="https://projectcatalyst.io/funds/14/cardano-use-cases-concepts/d4e-dao-for-enterprise-for-everyone" TargetMode="External"/><Relationship Id="rId282" Type="http://schemas.openxmlformats.org/officeDocument/2006/relationships/hyperlink" Target="https://projectcatalyst.io/funds/14/cardano-use-cases-concepts/cryptoaid-restoring-trust-in-humanitarian-aid" TargetMode="External"/><Relationship Id="rId160" Type="http://schemas.openxmlformats.org/officeDocument/2006/relationships/hyperlink" Target="https://projectcatalyst.io/funds/14/cardano-use-cases-concepts/kazakhstan-pilot-for-health-services-procurement-on-cardano" TargetMode="External"/><Relationship Id="rId281" Type="http://schemas.openxmlformats.org/officeDocument/2006/relationships/hyperlink" Target="https://projectcatalyst.io/funds/14/cardano-use-cases-concepts/axellacoin-mvp-for-decentralized-biotech-trial-funding" TargetMode="External"/><Relationship Id="rId280" Type="http://schemas.openxmlformats.org/officeDocument/2006/relationships/hyperlink" Target="https://projectcatalyst.io/funds/14/cardano-use-cases-concepts/worldads-cardano-powered-depin-ads-on-vehicle-roofs" TargetMode="External"/><Relationship Id="rId159" Type="http://schemas.openxmlformats.org/officeDocument/2006/relationships/hyperlink" Target="https://projectcatalyst.io/funds/14/cardano-use-cases-concepts/midgard-l2-battleship-game-on-cardano-via-commitreveal" TargetMode="External"/><Relationship Id="rId154" Type="http://schemas.openxmlformats.org/officeDocument/2006/relationships/hyperlink" Target="https://projectcatalyst.io/funds/14/cardano-use-cases-concepts/ideanft-human-centric-protocol-for-tokenization-of-dreams" TargetMode="External"/><Relationship Id="rId275" Type="http://schemas.openxmlformats.org/officeDocument/2006/relationships/hyperlink" Target="https://projectcatalyst.io/funds/14/cardano-use-cases-concepts/justice-ledger-blockchain-criminal-records-ethiopia" TargetMode="External"/><Relationship Id="rId396" Type="http://schemas.openxmlformats.org/officeDocument/2006/relationships/hyperlink" Target="https://projectcatalyst.io/funds/14/cardano-use-cases-concepts/drepspace-mvp-validation-of-governance-matching-tool" TargetMode="External"/><Relationship Id="rId153" Type="http://schemas.openxmlformats.org/officeDocument/2006/relationships/hyperlink" Target="https://projectcatalyst.io/funds/14/cardano-use-cases-concepts/smartscore-discover-compare-and-trust-cardanos-best" TargetMode="External"/><Relationship Id="rId274" Type="http://schemas.openxmlformats.org/officeDocument/2006/relationships/hyperlink" Target="https://projectcatalyst.io/funds/14/cardano-use-cases-concepts/customer-acquisition-and-ecosytem-marketing-funnel-by-better" TargetMode="External"/><Relationship Id="rId395" Type="http://schemas.openxmlformats.org/officeDocument/2006/relationships/hyperlink" Target="https://projectcatalyst.io/funds/14/cardano-use-cases-concepts/cardano-global-academic-and-innovation-hub-network" TargetMode="External"/><Relationship Id="rId152" Type="http://schemas.openxmlformats.org/officeDocument/2006/relationships/hyperlink" Target="https://projectcatalyst.io/funds/14/cardano-use-cases-concepts/vibe-coding-cardano-apps-in-no-code-environment" TargetMode="External"/><Relationship Id="rId273" Type="http://schemas.openxmlformats.org/officeDocument/2006/relationships/hyperlink" Target="https://projectcatalyst.io/funds/14/cardano-use-cases-concepts/afrisports-chain-enhancing-professional-sports-and-athletes" TargetMode="External"/><Relationship Id="rId394" Type="http://schemas.openxmlformats.org/officeDocument/2006/relationships/hyperlink" Target="https://projectcatalyst.io/funds/14/cardano-use-cases-concepts/octowars-a-tcg-game" TargetMode="External"/><Relationship Id="rId151" Type="http://schemas.openxmlformats.org/officeDocument/2006/relationships/hyperlink" Target="https://projectcatalyst.io/funds/14/cardano-use-cases-concepts/adapter-mcp-server-and-ai-agent-for-cardano" TargetMode="External"/><Relationship Id="rId272" Type="http://schemas.openxmlformats.org/officeDocument/2006/relationships/hyperlink" Target="https://projectcatalyst.io/funds/14/cardano-use-cases-concepts/cardano-based-university-certificate-verification" TargetMode="External"/><Relationship Id="rId393" Type="http://schemas.openxmlformats.org/officeDocument/2006/relationships/hyperlink" Target="https://projectcatalyst.io/funds/14/cardano-use-cases-concepts/ubuntu-dapp-cardano-decentralized-business-empowerment" TargetMode="External"/><Relationship Id="rId158" Type="http://schemas.openxmlformats.org/officeDocument/2006/relationships/hyperlink" Target="https://projectcatalyst.io/funds/14/cardano-use-cases-concepts/lcxs-ai-powered-crypto-search-engine-on-cardano" TargetMode="External"/><Relationship Id="rId279" Type="http://schemas.openxmlformats.org/officeDocument/2006/relationships/hyperlink" Target="https://projectcatalyst.io/funds/14/cardano-use-cases-concepts/urbanlink" TargetMode="External"/><Relationship Id="rId157" Type="http://schemas.openxmlformats.org/officeDocument/2006/relationships/hyperlink" Target="https://projectcatalyst.io/funds/14/cardano-use-cases-concepts/cardano-glucose-tracker-secure-health-records" TargetMode="External"/><Relationship Id="rId278" Type="http://schemas.openxmlformats.org/officeDocument/2006/relationships/hyperlink" Target="https://projectcatalyst.io/funds/14/cardano-use-cases-concepts/decentralized-learning-management-systemknowledge-ledger" TargetMode="External"/><Relationship Id="rId399" Type="http://schemas.openxmlformats.org/officeDocument/2006/relationships/hyperlink" Target="https://projectcatalyst.io/funds/14/cardano-use-cases-concepts/africast" TargetMode="External"/><Relationship Id="rId156" Type="http://schemas.openxmlformats.org/officeDocument/2006/relationships/hyperlink" Target="https://projectcatalyst.io/funds/14/cardano-use-cases-concepts/dynamic-property-rights-management-on-cardano" TargetMode="External"/><Relationship Id="rId277" Type="http://schemas.openxmlformats.org/officeDocument/2006/relationships/hyperlink" Target="https://projectcatalyst.io/funds/14/cardano-use-cases-concepts/kiyo-finance-a-next-gen-lending-protocol-for-cardano" TargetMode="External"/><Relationship Id="rId398" Type="http://schemas.openxmlformats.org/officeDocument/2006/relationships/hyperlink" Target="https://projectcatalyst.io/funds/14/cardano-use-cases-concepts/peaceguard-ai-a-multilingual-misinformation-detection-and-ve" TargetMode="External"/><Relationship Id="rId155" Type="http://schemas.openxmlformats.org/officeDocument/2006/relationships/hyperlink" Target="https://projectcatalyst.io/funds/14/cardano-use-cases-concepts/minana-hub-physical-digital-on-ramp-for-cardano-ecosystem" TargetMode="External"/><Relationship Id="rId276" Type="http://schemas.openxmlformats.org/officeDocument/2006/relationships/hyperlink" Target="https://projectcatalyst.io/funds/14/cardano-use-cases-concepts/zkpetition-privacy-powered-voices" TargetMode="External"/><Relationship Id="rId397" Type="http://schemas.openxmlformats.org/officeDocument/2006/relationships/hyperlink" Target="https://projectcatalyst.io/funds/14/cardano-use-cases-concepts/nexfund-decentralized-fund-management-platform" TargetMode="External"/><Relationship Id="rId40" Type="http://schemas.openxmlformats.org/officeDocument/2006/relationships/hyperlink" Target="https://projectcatalyst.io/funds/14/cardano-use-cases-concepts/aladin-securing-fair-pay-for-freelancers-globally" TargetMode="External"/><Relationship Id="rId42" Type="http://schemas.openxmlformats.org/officeDocument/2006/relationships/hyperlink" Target="https://projectcatalyst.io/funds/14/cardano-use-cases-concepts/tee-based-block-assembly-engine-for-cardano" TargetMode="External"/><Relationship Id="rId41" Type="http://schemas.openxmlformats.org/officeDocument/2006/relationships/hyperlink" Target="https://projectcatalyst.io/funds/14/cardano-use-cases-concepts/cardano-powered-kyc-and-digital-identity-system-for-ethiopia" TargetMode="External"/><Relationship Id="rId44" Type="http://schemas.openxmlformats.org/officeDocument/2006/relationships/hyperlink" Target="https://projectcatalyst.io/funds/14/cardano-use-cases-concepts/hydra-powered-m-sci-rpg-shooter-next-gen-gamefi-on-cardano" TargetMode="External"/><Relationship Id="rId43" Type="http://schemas.openxmlformats.org/officeDocument/2006/relationships/hyperlink" Target="https://projectcatalyst.io/funds/14/cardano-use-cases-concepts/empowering-future-stars-cardano-footballer-tokens" TargetMode="External"/><Relationship Id="rId46" Type="http://schemas.openxmlformats.org/officeDocument/2006/relationships/hyperlink" Target="https://projectcatalyst.io/funds/14/cardano-use-cases-concepts/midnight-and-atala-prism-enabled-medical-did" TargetMode="External"/><Relationship Id="rId45" Type="http://schemas.openxmlformats.org/officeDocument/2006/relationships/hyperlink" Target="https://projectcatalyst.io/funds/14/cardano-use-cases-concepts/aladin-building-a-global-reputation-for-freelancers" TargetMode="External"/><Relationship Id="rId48" Type="http://schemas.openxmlformats.org/officeDocument/2006/relationships/hyperlink" Target="https://projectcatalyst.io/funds/14/cardano-use-cases-concepts/prisma-potentialise-action-learning-journeys-orchestrator" TargetMode="External"/><Relationship Id="rId47" Type="http://schemas.openxmlformats.org/officeDocument/2006/relationships/hyperlink" Target="https://projectcatalyst.io/funds/14/cardano-use-cases-concepts/aladin-protecting-user-privacy-with-digital-identity" TargetMode="External"/><Relationship Id="rId49" Type="http://schemas.openxmlformats.org/officeDocument/2006/relationships/hyperlink" Target="https://projectcatalyst.io/funds/14/cardano-use-cases-concepts/ango-rwa-nfts-to-revitalize-rural-japan" TargetMode="External"/><Relationship Id="rId31" Type="http://schemas.openxmlformats.org/officeDocument/2006/relationships/hyperlink" Target="https://projectcatalyst.io/funds/14/cardano-use-cases-concepts/nunet-secure-framework-for-edge-ai-with-on-chain-payments" TargetMode="External"/><Relationship Id="rId30" Type="http://schemas.openxmlformats.org/officeDocument/2006/relationships/hyperlink" Target="https://projectcatalyst.io/funds/14/cardano-use-cases-concepts/seerbot-the-next-generation-trading-platform-on-cardano" TargetMode="External"/><Relationship Id="rId33" Type="http://schemas.openxmlformats.org/officeDocument/2006/relationships/hyperlink" Target="https://projectcatalyst.io/funds/14/cardano-use-cases-concepts/anvil-semi-custodial-wallet-enterprise-ready-wallet-sdk" TargetMode="External"/><Relationship Id="rId32" Type="http://schemas.openxmlformats.org/officeDocument/2006/relationships/hyperlink" Target="https://projectcatalyst.io/funds/14/cardano-use-cases-concepts/hydra-hub-saas-node-distribution-system-phase-1" TargetMode="External"/><Relationship Id="rId35" Type="http://schemas.openxmlformats.org/officeDocument/2006/relationships/hyperlink" Target="https://projectcatalyst.io/funds/14/cardano-use-cases-concepts/quex-oracles" TargetMode="External"/><Relationship Id="rId34" Type="http://schemas.openxmlformats.org/officeDocument/2006/relationships/hyperlink" Target="https://projectcatalyst.io/funds/14/cardano-use-cases-concepts/cardano-music-royalties-instant-transparent-payouts" TargetMode="External"/><Relationship Id="rId37" Type="http://schemas.openxmlformats.org/officeDocument/2006/relationships/hyperlink" Target="https://projectcatalyst.io/funds/14/cardano-use-cases-concepts/zk-login-in-cardano-eryx" TargetMode="External"/><Relationship Id="rId36" Type="http://schemas.openxmlformats.org/officeDocument/2006/relationships/hyperlink" Target="https://projectcatalyst.io/funds/14/cardano-use-cases-concepts/real-world-real-estate-pre-sale-with-proof-and-release" TargetMode="External"/><Relationship Id="rId39" Type="http://schemas.openxmlformats.org/officeDocument/2006/relationships/hyperlink" Target="https://projectcatalyst.io/funds/14/cardano-use-cases-concepts/pre-ipo-perpetuals-trade-private-companies-on-cardano" TargetMode="External"/><Relationship Id="rId38" Type="http://schemas.openxmlformats.org/officeDocument/2006/relationships/hyperlink" Target="https://projectcatalyst.io/funds/14/cardano-use-cases-concepts/rolling-loans-continuous-borrowing-on-danogo" TargetMode="External"/><Relationship Id="rId20" Type="http://schemas.openxmlformats.org/officeDocument/2006/relationships/hyperlink" Target="https://projectcatalyst.io/funds/14/cardano-use-cases-concepts/cardano-nft-ticketing-and-conference-goer-platform-by-rare-evo" TargetMode="External"/><Relationship Id="rId22" Type="http://schemas.openxmlformats.org/officeDocument/2006/relationships/hyperlink" Target="https://projectcatalyst.io/funds/14/cardano-use-cases-concepts/veriscript-on-chain-source-code-verification" TargetMode="External"/><Relationship Id="rId21" Type="http://schemas.openxmlformats.org/officeDocument/2006/relationships/hyperlink" Target="https://projectcatalyst.io/funds/14/cardano-use-cases-concepts/cardano-bond-exchange-trading-zero-coupon-bond-rwa" TargetMode="External"/><Relationship Id="rId24" Type="http://schemas.openxmlformats.org/officeDocument/2006/relationships/hyperlink" Target="https://projectcatalyst.io/funds/14/cardano-use-cases-concepts/kamino-cardano-earn-yield-with-your-cardano-assets" TargetMode="External"/><Relationship Id="rId23" Type="http://schemas.openxmlformats.org/officeDocument/2006/relationships/hyperlink" Target="https://projectcatalyst.io/funds/14/cardano-use-cases-concepts/funding-assessment-and-impact-framework" TargetMode="External"/><Relationship Id="rId409" Type="http://schemas.openxmlformats.org/officeDocument/2006/relationships/hyperlink" Target="https://projectcatalyst.io/funds/14/cardano-use-cases-concepts/creative-atlas-identity-solution-for-onboarding-creatives" TargetMode="External"/><Relationship Id="rId404" Type="http://schemas.openxmlformats.org/officeDocument/2006/relationships/hyperlink" Target="https://projectcatalyst.io/funds/14/cardano-use-cases-concepts/egg-wars-a-worms-style-web3-game" TargetMode="External"/><Relationship Id="rId403" Type="http://schemas.openxmlformats.org/officeDocument/2006/relationships/hyperlink" Target="https://projectcatalyst.io/funds/14/cardano-use-cases-concepts/tribaldaos-technical-blueprint" TargetMode="External"/><Relationship Id="rId402" Type="http://schemas.openxmlformats.org/officeDocument/2006/relationships/hyperlink" Target="https://projectcatalyst.io/funds/14/cardano-use-cases-concepts/educational-revolution-dapp-integration-for-boarding-school" TargetMode="External"/><Relationship Id="rId401" Type="http://schemas.openxmlformats.org/officeDocument/2006/relationships/hyperlink" Target="https://projectcatalyst.io/funds/14/cardano-use-cases-concepts/dairy-supply-chain-transparency-platform" TargetMode="External"/><Relationship Id="rId408" Type="http://schemas.openxmlformats.org/officeDocument/2006/relationships/hyperlink" Target="https://projectcatalyst.io/funds/14/cardano-use-cases-concepts/blogpay-20-converting-adsense-revenue-into-ada" TargetMode="External"/><Relationship Id="rId407" Type="http://schemas.openxmlformats.org/officeDocument/2006/relationships/hyperlink" Target="https://projectcatalyst.io/funds/14/cardano-use-cases-concepts/feed-reader-community-platform" TargetMode="External"/><Relationship Id="rId406" Type="http://schemas.openxmlformats.org/officeDocument/2006/relationships/hyperlink" Target="https://projectcatalyst.io/funds/14/cardano-use-cases-concepts/enabling-current-accounts-in-urble" TargetMode="External"/><Relationship Id="rId405" Type="http://schemas.openxmlformats.org/officeDocument/2006/relationships/hyperlink" Target="https://projectcatalyst.io/funds/14/cardano-use-cases-concepts/tokenizing-an-entire-lounge-bar-sova-danang-on-cardano" TargetMode="External"/><Relationship Id="rId26" Type="http://schemas.openxmlformats.org/officeDocument/2006/relationships/hyperlink" Target="https://projectcatalyst.io/funds/14/cardano-use-cases-concepts/bitcoin-lessgreater-cardano-atomic-swaps" TargetMode="External"/><Relationship Id="rId25" Type="http://schemas.openxmlformats.org/officeDocument/2006/relationships/hyperlink" Target="https://projectcatalyst.io/funds/14/cardano-use-cases-concepts/drep-dao-platform" TargetMode="External"/><Relationship Id="rId28" Type="http://schemas.openxmlformats.org/officeDocument/2006/relationships/hyperlink" Target="https://projectcatalyst.io/funds/14/cardano-use-cases-concepts/mlabs-cardano-racers-team-up-for-hydra-powered-gaming" TargetMode="External"/><Relationship Id="rId27" Type="http://schemas.openxmlformats.org/officeDocument/2006/relationships/hyperlink" Target="https://projectcatalyst.io/funds/14/cardano-use-cases-concepts/cardano-treasury-explorer-open-data-source-adaspendingcom" TargetMode="External"/><Relationship Id="rId400" Type="http://schemas.openxmlformats.org/officeDocument/2006/relationships/hyperlink" Target="https://projectcatalyst.io/funds/14/cardano-use-cases-concepts/cardano-on-chain-quiz-and-trivia-dapp-learning-with-rewards" TargetMode="External"/><Relationship Id="rId29" Type="http://schemas.openxmlformats.org/officeDocument/2006/relationships/hyperlink" Target="https://projectcatalyst.io/funds/14/cardano-use-cases-concepts/cardano-seedsigner-diy-air-gapped-hardware-wallet" TargetMode="External"/><Relationship Id="rId11" Type="http://schemas.openxmlformats.org/officeDocument/2006/relationships/hyperlink" Target="https://projectcatalyst.io/funds/14/cardano-use-cases-concepts/gy-options-trading" TargetMode="External"/><Relationship Id="rId10" Type="http://schemas.openxmlformats.org/officeDocument/2006/relationships/hyperlink" Target="https://projectcatalyst.io/funds/14/cardano-use-cases-concepts/hashirwa-bridging-japans-agri-rwa-with-ai" TargetMode="External"/><Relationship Id="rId13" Type="http://schemas.openxmlformats.org/officeDocument/2006/relationships/hyperlink" Target="https://projectcatalyst.io/funds/14/cardano-use-cases-concepts/charli3-discordtelegram-token-data-and-multi-dex-swap-bot" TargetMode="External"/><Relationship Id="rId12" Type="http://schemas.openxmlformats.org/officeDocument/2006/relationships/hyperlink" Target="https://projectcatalyst.io/funds/14/cardano-use-cases-concepts/kima-interoperability-layer-for-cardano-ecosystem" TargetMode="External"/><Relationship Id="rId15" Type="http://schemas.openxmlformats.org/officeDocument/2006/relationships/hyperlink" Target="https://projectcatalyst.io/funds/14/cardano-use-cases-concepts/nodo-cardanos-ai-liquidity-layer-for-usda-usdm-and-rwas" TargetMode="External"/><Relationship Id="rId14" Type="http://schemas.openxmlformats.org/officeDocument/2006/relationships/hyperlink" Target="https://projectcatalyst.io/funds/14/cardano-use-cases-concepts/sidan-delegator-feedback-system-for-drep-voting" TargetMode="External"/><Relationship Id="rId17" Type="http://schemas.openxmlformats.org/officeDocument/2006/relationships/hyperlink" Target="https://projectcatalyst.io/funds/14/cardano-use-cases-concepts/ekklesia-high-frequency-voting-on-cardano-with-hydra" TargetMode="External"/><Relationship Id="rId16" Type="http://schemas.openxmlformats.org/officeDocument/2006/relationships/hyperlink" Target="https://projectcatalyst.io/funds/14/cardano-use-cases-concepts/decentralized-on-chain-data-encryption" TargetMode="External"/><Relationship Id="rId19" Type="http://schemas.openxmlformats.org/officeDocument/2006/relationships/hyperlink" Target="https://projectcatalyst.io/funds/14/cardano-use-cases-concepts/eudi4cardano-interoperability-of-eudi-wallets-with-cardano" TargetMode="External"/><Relationship Id="rId18" Type="http://schemas.openxmlformats.org/officeDocument/2006/relationships/hyperlink" Target="https://projectcatalyst.io/funds/14/cardano-use-cases-concepts/prisma-dids-decentralized-ids-for-verifiable-contributions" TargetMode="External"/><Relationship Id="rId84" Type="http://schemas.openxmlformats.org/officeDocument/2006/relationships/hyperlink" Target="https://projectcatalyst.io/funds/14/cardano-use-cases-concepts/faster-e2e-dapp-testing-with-private-network-by-dquadrant" TargetMode="External"/><Relationship Id="rId83" Type="http://schemas.openxmlformats.org/officeDocument/2006/relationships/hyperlink" Target="https://projectcatalyst.io/funds/14/cardano-use-cases-concepts/sendr-a-dao-to-hack-the-x-algorithm-and-push-ada-narratives" TargetMode="External"/><Relationship Id="rId86" Type="http://schemas.openxmlformats.org/officeDocument/2006/relationships/hyperlink" Target="https://projectcatalyst.io/funds/14/cardano-use-cases-concepts/cardano-midnight-and-catalyst-ecosystem-health-analytics-tool" TargetMode="External"/><Relationship Id="rId85" Type="http://schemas.openxmlformats.org/officeDocument/2006/relationships/hyperlink" Target="https://projectcatalyst.io/funds/14/cardano-use-cases-concepts/steelswap-ai-cardano-chain-decompiler-prototype" TargetMode="External"/><Relationship Id="rId88" Type="http://schemas.openxmlformats.org/officeDocument/2006/relationships/hyperlink" Target="https://projectcatalyst.io/funds/14/cardano-use-cases-concepts/cardano-enterprise-ai-powered-cybersecurity" TargetMode="External"/><Relationship Id="rId87" Type="http://schemas.openxmlformats.org/officeDocument/2006/relationships/hyperlink" Target="https://projectcatalyst.io/funds/14/cardano-use-cases-concepts/liquidity-hub-a-new-multi-dex-liquidity-pool-aggregator" TargetMode="External"/><Relationship Id="rId89" Type="http://schemas.openxmlformats.org/officeDocument/2006/relationships/hyperlink" Target="https://projectcatalyst.io/funds/14/cardano-use-cases-concepts/vetshare-zkp-veterinary-research-network-on-midnight" TargetMode="External"/><Relationship Id="rId80" Type="http://schemas.openxmlformats.org/officeDocument/2006/relationships/hyperlink" Target="https://projectcatalyst.io/funds/14/cardano-use-cases-concepts/farm-to-fork-pilot-with-cardano-foundation-originate" TargetMode="External"/><Relationship Id="rId82" Type="http://schemas.openxmlformats.org/officeDocument/2006/relationships/hyperlink" Target="https://projectcatalyst.io/funds/14/cardano-use-cases-concepts/monetized-auto-market-making-and-portfolio-manager-marketplace" TargetMode="External"/><Relationship Id="rId81" Type="http://schemas.openxmlformats.org/officeDocument/2006/relationships/hyperlink" Target="https://projectcatalyst.io/funds/14/cardano-use-cases-concepts/auto-limit-orders-for-market-making-on-cardano" TargetMode="External"/><Relationship Id="rId73" Type="http://schemas.openxmlformats.org/officeDocument/2006/relationships/hyperlink" Target="https://projectcatalyst.io/funds/14/cardano-use-cases-concepts/blockchain-based-invoicing-and-payments-platform-invoicechain" TargetMode="External"/><Relationship Id="rId72" Type="http://schemas.openxmlformats.org/officeDocument/2006/relationships/hyperlink" Target="https://projectcatalyst.io/funds/14/cardano-use-cases-concepts/cotracking-in-the-fuel-and-fleet-card-industry-w-uta-edenred" TargetMode="External"/><Relationship Id="rId75" Type="http://schemas.openxmlformats.org/officeDocument/2006/relationships/hyperlink" Target="https://projectcatalyst.io/funds/14/cardano-use-cases-concepts/one-click-midnight-smart-contract-deployment-platform" TargetMode="External"/><Relationship Id="rId74" Type="http://schemas.openxmlformats.org/officeDocument/2006/relationships/hyperlink" Target="https://projectcatalyst.io/funds/14/cardano-use-cases-concepts/offline-community-wallet-and-partner-management-portal" TargetMode="External"/><Relationship Id="rId77" Type="http://schemas.openxmlformats.org/officeDocument/2006/relationships/hyperlink" Target="https://projectcatalyst.io/funds/14/cardano-use-cases-concepts/next-gen-open-orderbook-exchange" TargetMode="External"/><Relationship Id="rId76" Type="http://schemas.openxmlformats.org/officeDocument/2006/relationships/hyperlink" Target="https://projectcatalyst.io/funds/14/cardano-use-cases-concepts/cardano-dapp-radar-a-community-curated-discovery-hub" TargetMode="External"/><Relationship Id="rId79" Type="http://schemas.openxmlformats.org/officeDocument/2006/relationships/hyperlink" Target="https://projectcatalyst.io/funds/14/cardano-use-cases-concepts/your-self-custodial-blockchain-will-on-cardano-genwealth" TargetMode="External"/><Relationship Id="rId78" Type="http://schemas.openxmlformats.org/officeDocument/2006/relationships/hyperlink" Target="https://projectcatalyst.io/funds/14/cardano-use-cases-concepts/project-specific-cardano-midnight-token-bridge" TargetMode="External"/><Relationship Id="rId71" Type="http://schemas.openxmlformats.org/officeDocument/2006/relationships/hyperlink" Target="https://projectcatalyst.io/funds/14/cardano-use-cases-concepts/integration-of-matterfi-send-to-name-technologies-for-ada" TargetMode="External"/><Relationship Id="rId70" Type="http://schemas.openxmlformats.org/officeDocument/2006/relationships/hyperlink" Target="https://projectcatalyst.io/funds/14/cardano-use-cases-concepts/hydra-auctions-driving-real-world-ada-utility" TargetMode="External"/><Relationship Id="rId62" Type="http://schemas.openxmlformats.org/officeDocument/2006/relationships/hyperlink" Target="https://projectcatalyst.io/funds/14/cardano-use-cases-concepts/bendingai-free-analytics-apis-for-the-cardano-ecosystem" TargetMode="External"/><Relationship Id="rId61" Type="http://schemas.openxmlformats.org/officeDocument/2006/relationships/hyperlink" Target="https://projectcatalyst.io/funds/14/cardano-use-cases-concepts/rwa-cross-chain-bridge-adapter-for-stablecoin-distribution" TargetMode="External"/><Relationship Id="rId64" Type="http://schemas.openxmlformats.org/officeDocument/2006/relationships/hyperlink" Target="https://projectcatalyst.io/funds/14/cardano-use-cases-concepts/reef-data-iagon-and-cardano-as-data-layers-for-data-coop" TargetMode="External"/><Relationship Id="rId63" Type="http://schemas.openxmlformats.org/officeDocument/2006/relationships/hyperlink" Target="https://projectcatalyst.io/funds/14/cardano-use-cases-concepts/hydra-powered-gamified-badges-for-blockchain-conferences" TargetMode="External"/><Relationship Id="rId66" Type="http://schemas.openxmlformats.org/officeDocument/2006/relationships/hyperlink" Target="https://projectcatalyst.io/funds/14/cardano-use-cases-concepts/permissionless-global-p2p-and-grid-trading" TargetMode="External"/><Relationship Id="rId65" Type="http://schemas.openxmlformats.org/officeDocument/2006/relationships/hyperlink" Target="https://projectcatalyst.io/funds/14/cardano-use-cases-concepts/ai-x-ip-platform-from-japan-unlock-dollar80t-market" TargetMode="External"/><Relationship Id="rId68" Type="http://schemas.openxmlformats.org/officeDocument/2006/relationships/hyperlink" Target="https://projectcatalyst.io/funds/14/cardano-use-cases-concepts/add-mobile-money-mpesa-smart-contract-bridge-for-amana" TargetMode="External"/><Relationship Id="rId67" Type="http://schemas.openxmlformats.org/officeDocument/2006/relationships/hyperlink" Target="https://projectcatalyst.io/funds/14/cardano-use-cases-concepts/ultimate-domination-bringing-more-gamers-to-cardano" TargetMode="External"/><Relationship Id="rId60" Type="http://schemas.openxmlformats.org/officeDocument/2006/relationships/hyperlink" Target="https://projectcatalyst.io/funds/14/cardano-use-cases-concepts/from-chat-to-checkout-autonomous-ai-payments-via-cardano" TargetMode="External"/><Relationship Id="rId69" Type="http://schemas.openxmlformats.org/officeDocument/2006/relationships/hyperlink" Target="https://projectcatalyst.io/funds/14/cardano-use-cases-concepts/isomorphic-cryptographic-asset-repository-iso-car" TargetMode="External"/><Relationship Id="rId51" Type="http://schemas.openxmlformats.org/officeDocument/2006/relationships/hyperlink" Target="https://projectcatalyst.io/funds/14/cardano-use-cases-concepts/decentralized-governance-lending-for-on-chain-gas" TargetMode="External"/><Relationship Id="rId50" Type="http://schemas.openxmlformats.org/officeDocument/2006/relationships/hyperlink" Target="https://projectcatalyst.io/funds/14/cardano-use-cases-concepts/aladin-ensuring-fair-justice-for-on-chain-disputes" TargetMode="External"/><Relationship Id="rId53" Type="http://schemas.openxmlformats.org/officeDocument/2006/relationships/hyperlink" Target="https://projectcatalyst.io/funds/14/cardano-use-cases-concepts/d-fct-smart-contract-integration-and-feature-refinement" TargetMode="External"/><Relationship Id="rId52" Type="http://schemas.openxmlformats.org/officeDocument/2006/relationships/hyperlink" Target="https://projectcatalyst.io/funds/14/cardano-use-cases-concepts/prisma-timelining-voice-based-contribution-accounting" TargetMode="External"/><Relationship Id="rId55" Type="http://schemas.openxmlformats.org/officeDocument/2006/relationships/hyperlink" Target="https://projectcatalyst.io/funds/14/cardano-use-cases-concepts/leadgendao-business-lead-generation-for-cardano-dapps" TargetMode="External"/><Relationship Id="rId54" Type="http://schemas.openxmlformats.org/officeDocument/2006/relationships/hyperlink" Target="https://projectcatalyst.io/funds/14/cardano-use-cases-concepts/nunet-enabling-gpu-clusters-scalingandexpansion" TargetMode="External"/><Relationship Id="rId57" Type="http://schemas.openxmlformats.org/officeDocument/2006/relationships/hyperlink" Target="https://projectcatalyst.io/funds/14/cardano-use-cases-concepts/cardano-bitcoin-atomic-swaps-trustless-defi-by-gardentokeo" TargetMode="External"/><Relationship Id="rId56" Type="http://schemas.openxmlformats.org/officeDocument/2006/relationships/hyperlink" Target="https://projectcatalyst.io/funds/14/cardano-use-cases-concepts/hydra-based-roaming-settlement-system-for-teleco-operators" TargetMode="External"/><Relationship Id="rId59" Type="http://schemas.openxmlformats.org/officeDocument/2006/relationships/hyperlink" Target="https://projectcatalyst.io/funds/14/cardano-use-cases-concepts/gero-zkfiat-the-future-of-confidential-compliance" TargetMode="External"/><Relationship Id="rId58" Type="http://schemas.openxmlformats.org/officeDocument/2006/relationships/hyperlink" Target="https://projectcatalyst.io/funds/14/cardano-use-cases-concepts/mesh-tools-and-docs-for-ai-modelsworkflows" TargetMode="External"/><Relationship Id="rId107" Type="http://schemas.openxmlformats.org/officeDocument/2006/relationships/hyperlink" Target="https://projectcatalyst.io/funds/14/cardano-use-cases-concepts/creating-cardano-business-cases-through-real-coffee-world" TargetMode="External"/><Relationship Id="rId228" Type="http://schemas.openxmlformats.org/officeDocument/2006/relationships/hyperlink" Target="https://projectcatalyst.io/funds/14/cardano-use-cases-concepts/lowfee-reduce-transaction-fee-by-80percent-without-layer-2" TargetMode="External"/><Relationship Id="rId349" Type="http://schemas.openxmlformats.org/officeDocument/2006/relationships/hyperlink" Target="https://projectcatalyst.io/funds/14/cardano-use-cases-concepts/givinn-blockchain-powered-charity-platform" TargetMode="External"/><Relationship Id="rId106" Type="http://schemas.openxmlformats.org/officeDocument/2006/relationships/hyperlink" Target="https://projectcatalyst.io/funds/14/cardano-use-cases-concepts/cardano-notification-protocol-cnp" TargetMode="External"/><Relationship Id="rId227" Type="http://schemas.openxmlformats.org/officeDocument/2006/relationships/hyperlink" Target="https://projectcatalyst.io/funds/14/cardano-use-cases-concepts/level-2-identity-verification" TargetMode="External"/><Relationship Id="rId348" Type="http://schemas.openxmlformats.org/officeDocument/2006/relationships/hyperlink" Target="https://projectcatalyst.io/funds/14/cardano-use-cases-concepts/white-label-decentralized-luxury-resale-marketplace" TargetMode="External"/><Relationship Id="rId105" Type="http://schemas.openxmlformats.org/officeDocument/2006/relationships/hyperlink" Target="https://projectcatalyst.io/funds/14/cardano-use-cases-concepts/smartcontract-collaterized-debt-obligations-for-mortgages" TargetMode="External"/><Relationship Id="rId226" Type="http://schemas.openxmlformats.org/officeDocument/2006/relationships/hyperlink" Target="https://projectcatalyst.io/funds/14/cardano-use-cases-concepts/bookhub-cardano-powered-book-sharing" TargetMode="External"/><Relationship Id="rId347" Type="http://schemas.openxmlformats.org/officeDocument/2006/relationships/hyperlink" Target="https://projectcatalyst.io/funds/14/cardano-use-cases-concepts/web3-platform-for-gaming-tournaments" TargetMode="External"/><Relationship Id="rId104" Type="http://schemas.openxmlformats.org/officeDocument/2006/relationships/hyperlink" Target="https://projectcatalyst.io/funds/14/cardano-use-cases-concepts/web3hotelscom-cardano-based-hotel-booking-platform-mvp" TargetMode="External"/><Relationship Id="rId225" Type="http://schemas.openxmlformats.org/officeDocument/2006/relationships/hyperlink" Target="https://projectcatalyst.io/funds/14/cardano-use-cases-concepts/reloop-turning-e-waste-into-wealth-through-cardano" TargetMode="External"/><Relationship Id="rId346" Type="http://schemas.openxmlformats.org/officeDocument/2006/relationships/hyperlink" Target="https://projectcatalyst.io/funds/14/cardano-use-cases-concepts/openvolts-cardano-anchored-energy-pods-for-public-spaces" TargetMode="External"/><Relationship Id="rId109" Type="http://schemas.openxmlformats.org/officeDocument/2006/relationships/hyperlink" Target="https://projectcatalyst.io/funds/14/cardano-use-cases-concepts/smart-telecom-agreements-on-cardano-tmf-standard-tmfc039" TargetMode="External"/><Relationship Id="rId108" Type="http://schemas.openxmlformats.org/officeDocument/2006/relationships/hyperlink" Target="https://projectcatalyst.io/funds/14/cardano-use-cases-concepts/safe-and-trusted-otc-trading-with-reputation-on-cardano" TargetMode="External"/><Relationship Id="rId229" Type="http://schemas.openxmlformats.org/officeDocument/2006/relationships/hyperlink" Target="https://projectcatalyst.io/funds/14/cardano-use-cases-concepts/hydra-texas-holdem-poker-platform" TargetMode="External"/><Relationship Id="rId220" Type="http://schemas.openxmlformats.org/officeDocument/2006/relationships/hyperlink" Target="https://projectcatalyst.io/funds/14/cardano-use-cases-concepts/knightsafe-trading-strategy-selector-and-asset-controls" TargetMode="External"/><Relationship Id="rId341" Type="http://schemas.openxmlformats.org/officeDocument/2006/relationships/hyperlink" Target="https://projectcatalyst.io/funds/14/cardano-use-cases-concepts/semoto-rfprfq-platform-with-cardano-integration" TargetMode="External"/><Relationship Id="rId340" Type="http://schemas.openxmlformats.org/officeDocument/2006/relationships/hyperlink" Target="https://projectcatalyst.io/funds/14/cardano-use-cases-concepts/medfinet-where-immunization-meets-rewards" TargetMode="External"/><Relationship Id="rId461" Type="http://schemas.openxmlformats.org/officeDocument/2006/relationships/drawing" Target="../drawings/drawing3.xml"/><Relationship Id="rId460" Type="http://schemas.openxmlformats.org/officeDocument/2006/relationships/hyperlink" Target="https://projectcatalyst.io/funds/14/cardano-use-cases-concepts/m4w-biodiversity-data-capture-and-on-chain-storage" TargetMode="External"/><Relationship Id="rId103" Type="http://schemas.openxmlformats.org/officeDocument/2006/relationships/hyperlink" Target="https://projectcatalyst.io/funds/14/cardano-use-cases-concepts/drep-ai-assistant-support-for-governance-spos-and-reeve" TargetMode="External"/><Relationship Id="rId224" Type="http://schemas.openxmlformats.org/officeDocument/2006/relationships/hyperlink" Target="https://projectcatalyst.io/funds/14/cardano-use-cases-concepts/patilla-noir-artistic-and-digital-product-passports" TargetMode="External"/><Relationship Id="rId345" Type="http://schemas.openxmlformats.org/officeDocument/2006/relationships/hyperlink" Target="https://projectcatalyst.io/funds/14/cardano-use-cases-concepts/cardano-microjobs" TargetMode="External"/><Relationship Id="rId102" Type="http://schemas.openxmlformats.org/officeDocument/2006/relationships/hyperlink" Target="https://projectcatalyst.io/funds/14/cardano-use-cases-concepts/cardano-ai-oracle-real-world-data-on-chain" TargetMode="External"/><Relationship Id="rId223" Type="http://schemas.openxmlformats.org/officeDocument/2006/relationships/hyperlink" Target="https://projectcatalyst.io/funds/14/cardano-use-cases-concepts/blockmargin-interest-rate-derivatives-settlement-mainnet" TargetMode="External"/><Relationship Id="rId344" Type="http://schemas.openxmlformats.org/officeDocument/2006/relationships/hyperlink" Target="https://projectcatalyst.io/funds/14/cardano-use-cases-concepts/mindhealer-connecting-experts-and-clients-on-cardano" TargetMode="External"/><Relationship Id="rId101" Type="http://schemas.openxmlformats.org/officeDocument/2006/relationships/hyperlink" Target="https://projectcatalyst.io/funds/14/cardano-use-cases-concepts/aquara-the-worlds-first-decentralized-water-fund" TargetMode="External"/><Relationship Id="rId222" Type="http://schemas.openxmlformats.org/officeDocument/2006/relationships/hyperlink" Target="https://projectcatalyst.io/funds/14/cardano-use-cases-concepts/protofire-cardano-cross-chain-interoperability-protocol" TargetMode="External"/><Relationship Id="rId343" Type="http://schemas.openxmlformats.org/officeDocument/2006/relationships/hyperlink" Target="https://projectcatalyst.io/funds/14/cardano-use-cases-concepts/aerogrowth-invest-in-urban-farms-earn-real-yield" TargetMode="External"/><Relationship Id="rId100" Type="http://schemas.openxmlformats.org/officeDocument/2006/relationships/hyperlink" Target="https://projectcatalyst.io/funds/14/cardano-use-cases-concepts/monetizing-the-worlds-sensor-data-powered-by-hydra" TargetMode="External"/><Relationship Id="rId221" Type="http://schemas.openxmlformats.org/officeDocument/2006/relationships/hyperlink" Target="https://projectcatalyst.io/funds/14/cardano-use-cases-concepts/the-cardano-home-portal" TargetMode="External"/><Relationship Id="rId342" Type="http://schemas.openxmlformats.org/officeDocument/2006/relationships/hyperlink" Target="https://projectcatalyst.io/funds/14/cardano-use-cases-concepts/sonhatorio-and-reeve-transparency-for-impact-and-rwa-projects" TargetMode="External"/><Relationship Id="rId217" Type="http://schemas.openxmlformats.org/officeDocument/2006/relationships/hyperlink" Target="https://projectcatalyst.io/funds/14/cardano-use-cases-concepts/cardano-token-risk-analysis-bot-via-telegram" TargetMode="External"/><Relationship Id="rId338" Type="http://schemas.openxmlformats.org/officeDocument/2006/relationships/hyperlink" Target="https://projectcatalyst.io/funds/14/cardano-use-cases-concepts/pay-and-verify-cardano-for-legal-cannabis-payments" TargetMode="External"/><Relationship Id="rId459" Type="http://schemas.openxmlformats.org/officeDocument/2006/relationships/hyperlink" Target="https://projectcatalyst.io/funds/14/cardano-use-cases-concepts/cardano-hub-indonesia-patient-dental-ownership-ecosystem" TargetMode="External"/><Relationship Id="rId216" Type="http://schemas.openxmlformats.org/officeDocument/2006/relationships/hyperlink" Target="https://projectcatalyst.io/funds/14/cardano-use-cases-concepts/pharmadna-drug-traceability-powered-by-blockchain-and-aiot" TargetMode="External"/><Relationship Id="rId337" Type="http://schemas.openxmlformats.org/officeDocument/2006/relationships/hyperlink" Target="https://projectcatalyst.io/funds/14/cardano-use-cases-concepts/govcircle-strengthening-cardanos-constitutional-framework" TargetMode="External"/><Relationship Id="rId458" Type="http://schemas.openxmlformats.org/officeDocument/2006/relationships/hyperlink" Target="https://projectcatalyst.io/funds/14/cardano-use-cases-concepts/mba-itb-alumni-association-platform-x-cardano-hub-indonesia" TargetMode="External"/><Relationship Id="rId215" Type="http://schemas.openxmlformats.org/officeDocument/2006/relationships/hyperlink" Target="https://projectcatalyst.io/funds/14/cardano-use-cases-concepts/cardano-open-peer-review-an-on-chain-publishing-mvp" TargetMode="External"/><Relationship Id="rId336" Type="http://schemas.openxmlformats.org/officeDocument/2006/relationships/hyperlink" Target="https://projectcatalyst.io/funds/14/cardano-use-cases-concepts/carbon-credit-portal-for-clean-energy-producers" TargetMode="External"/><Relationship Id="rId457" Type="http://schemas.openxmlformats.org/officeDocument/2006/relationships/hyperlink" Target="https://projectcatalyst.io/funds/14/cardano-use-cases-concepts/social-equb-staking" TargetMode="External"/><Relationship Id="rId214" Type="http://schemas.openxmlformats.org/officeDocument/2006/relationships/hyperlink" Target="https://projectcatalyst.io/funds/14/cardano-use-cases-concepts/integrate-ada-payment-features-into-tiki-wiki-cms-groupware" TargetMode="External"/><Relationship Id="rId335" Type="http://schemas.openxmlformats.org/officeDocument/2006/relationships/hyperlink" Target="https://projectcatalyst.io/funds/14/cardano-use-cases-concepts/blockchain-based-agri-finance-for-smallholder-farmers" TargetMode="External"/><Relationship Id="rId456" Type="http://schemas.openxmlformats.org/officeDocument/2006/relationships/hyperlink" Target="https://projectcatalyst.io/funds/14/cardano-use-cases-concepts/nftrek-hike-collect-experience" TargetMode="External"/><Relationship Id="rId219" Type="http://schemas.openxmlformats.org/officeDocument/2006/relationships/hyperlink" Target="https://projectcatalyst.io/funds/14/cardano-use-cases-concepts/votescope-ai-voter-turnout-intelligence-for-spos-and-dreps" TargetMode="External"/><Relationship Id="rId218" Type="http://schemas.openxmlformats.org/officeDocument/2006/relationships/hyperlink" Target="https://projectcatalyst.io/funds/14/cardano-use-cases-concepts/cardano-ai-risk-manager-for-treasury-financial-resilience" TargetMode="External"/><Relationship Id="rId339" Type="http://schemas.openxmlformats.org/officeDocument/2006/relationships/hyperlink" Target="https://projectcatalyst.io/funds/14/cardano-use-cases-concepts/multi-level-document-approval-using-smart-contracts" TargetMode="External"/><Relationship Id="rId330" Type="http://schemas.openxmlformats.org/officeDocument/2006/relationships/hyperlink" Target="https://projectcatalyst.io/funds/14/cardano-use-cases-concepts/crypto-payroll-on-cardano" TargetMode="External"/><Relationship Id="rId451" Type="http://schemas.openxmlformats.org/officeDocument/2006/relationships/hyperlink" Target="https://projectcatalyst.io/funds/14/cardano-use-cases-concepts/litera-platform-for-writers-poets-and-literary-creatives" TargetMode="External"/><Relationship Id="rId450" Type="http://schemas.openxmlformats.org/officeDocument/2006/relationships/hyperlink" Target="https://projectcatalyst.io/funds/14/cardano-use-cases-concepts/pseudonymous-computer-the-handle-search-engine" TargetMode="External"/><Relationship Id="rId213" Type="http://schemas.openxmlformats.org/officeDocument/2006/relationships/hyperlink" Target="https://projectcatalyst.io/funds/14/cardano-use-cases-concepts/chainsente-a-cardano-wallet-for-defi-and-mobile-money" TargetMode="External"/><Relationship Id="rId334" Type="http://schemas.openxmlformats.org/officeDocument/2006/relationships/hyperlink" Target="https://projectcatalyst.io/funds/14/cardano-use-cases-concepts/ecomandala-v2-on-chain-environmental-intelligence" TargetMode="External"/><Relationship Id="rId455" Type="http://schemas.openxmlformats.org/officeDocument/2006/relationships/hyperlink" Target="https://projectcatalyst.io/funds/14/cardano-use-cases-concepts/protecting-your-cardano-portfolio-with-covercryptoio" TargetMode="External"/><Relationship Id="rId212" Type="http://schemas.openxmlformats.org/officeDocument/2006/relationships/hyperlink" Target="https://projectcatalyst.io/funds/14/cardano-use-cases-concepts/land-id-gateway-one-source-of-truth-for-property-ownership" TargetMode="External"/><Relationship Id="rId333" Type="http://schemas.openxmlformats.org/officeDocument/2006/relationships/hyperlink" Target="https://projectcatalyst.io/funds/14/cardano-use-cases-concepts/business-development-service-blockchain-solutions" TargetMode="External"/><Relationship Id="rId454" Type="http://schemas.openxmlformats.org/officeDocument/2006/relationships/hyperlink" Target="https://projectcatalyst.io/funds/14/cardano-use-cases-concepts/domulabs-environmental-iot-with-cardano-donations" TargetMode="External"/><Relationship Id="rId211" Type="http://schemas.openxmlformats.org/officeDocument/2006/relationships/hyperlink" Target="https://projectcatalyst.io/funds/14/cardano-use-cases-concepts/opus-trust-based-hiring-for-the-future-of-work" TargetMode="External"/><Relationship Id="rId332" Type="http://schemas.openxmlformats.org/officeDocument/2006/relationships/hyperlink" Target="https://projectcatalyst.io/funds/14/cardano-use-cases-concepts/nextgen-developers-20-from-hackathon-success-to-mainnet" TargetMode="External"/><Relationship Id="rId453" Type="http://schemas.openxmlformats.org/officeDocument/2006/relationships/hyperlink" Target="https://projectcatalyst.io/funds/14/cardano-use-cases-concepts/cultivating-ethical-blockchain-innovation-from-africa" TargetMode="External"/><Relationship Id="rId210" Type="http://schemas.openxmlformats.org/officeDocument/2006/relationships/hyperlink" Target="https://projectcatalyst.io/funds/14/cardano-use-cases-concepts/proposalgpt-ai-co-pilot-with-on-chain-archiving-for-cardano" TargetMode="External"/><Relationship Id="rId331" Type="http://schemas.openxmlformats.org/officeDocument/2006/relationships/hyperlink" Target="https://projectcatalyst.io/funds/14/cardano-use-cases-concepts/tokenized-real-estate-and-housing-subdivisions" TargetMode="External"/><Relationship Id="rId452" Type="http://schemas.openxmlformats.org/officeDocument/2006/relationships/hyperlink" Target="https://projectcatalyst.io/funds/14/cardano-use-cases-concepts/injeratime-discover-and-cook-ethiopian-classics" TargetMode="External"/><Relationship Id="rId370" Type="http://schemas.openxmlformats.org/officeDocument/2006/relationships/hyperlink" Target="https://projectcatalyst.io/funds/14/cardano-use-cases-concepts/adapulse" TargetMode="External"/><Relationship Id="rId129" Type="http://schemas.openxmlformats.org/officeDocument/2006/relationships/hyperlink" Target="https://projectcatalyst.io/funds/14/cardano-use-cases-concepts/ai-powered-cardano-defi-discovery-analytics-and-trading-hub" TargetMode="External"/><Relationship Id="rId128" Type="http://schemas.openxmlformats.org/officeDocument/2006/relationships/hyperlink" Target="https://projectcatalyst.io/funds/14/cardano-use-cases-concepts/cardano-portfolio-tracker-ada-maximization-platform" TargetMode="External"/><Relationship Id="rId249" Type="http://schemas.openxmlformats.org/officeDocument/2006/relationships/hyperlink" Target="https://projectcatalyst.io/funds/14/cardano-use-cases-concepts/blockchain-portal-for-missing-persons-in-brazil" TargetMode="External"/><Relationship Id="rId127" Type="http://schemas.openxmlformats.org/officeDocument/2006/relationships/hyperlink" Target="https://projectcatalyst.io/funds/14/cardano-use-cases-concepts/treasury-guardian" TargetMode="External"/><Relationship Id="rId248" Type="http://schemas.openxmlformats.org/officeDocument/2006/relationships/hyperlink" Target="https://projectcatalyst.io/funds/14/cardano-use-cases-concepts/decentralised-voting-and-authentication-system" TargetMode="External"/><Relationship Id="rId369" Type="http://schemas.openxmlformats.org/officeDocument/2006/relationships/hyperlink" Target="https://projectcatalyst.io/funds/14/cardano-use-cases-concepts/shegergoals-fan-tokens-reviving-ethiopian-fc-with-cardano" TargetMode="External"/><Relationship Id="rId126" Type="http://schemas.openxmlformats.org/officeDocument/2006/relationships/hyperlink" Target="https://projectcatalyst.io/funds/14/cardano-use-cases-concepts/cardano-e-commerce-connector-shopify-payments-with-ada" TargetMode="External"/><Relationship Id="rId247" Type="http://schemas.openxmlformats.org/officeDocument/2006/relationships/hyperlink" Target="https://projectcatalyst.io/funds/14/cardano-use-cases-concepts/blab-decentralized-talent-dao-escrow-and-reputation" TargetMode="External"/><Relationship Id="rId368" Type="http://schemas.openxmlformats.org/officeDocument/2006/relationships/hyperlink" Target="https://projectcatalyst.io/funds/14/cardano-use-cases-concepts/blockchain-certified-ndvievi-monitoring-forest-restoration" TargetMode="External"/><Relationship Id="rId121" Type="http://schemas.openxmlformats.org/officeDocument/2006/relationships/hyperlink" Target="https://projectcatalyst.io/funds/14/cardano-use-cases-concepts/ai-agents-to-scale-companies-ngos-and-daos-on-cardano" TargetMode="External"/><Relationship Id="rId242" Type="http://schemas.openxmlformats.org/officeDocument/2006/relationships/hyperlink" Target="https://projectcatalyst.io/funds/14/cardano-use-cases-concepts/ai-assisted-smart-contract-generator-prototype" TargetMode="External"/><Relationship Id="rId363" Type="http://schemas.openxmlformats.org/officeDocument/2006/relationships/hyperlink" Target="https://projectcatalyst.io/funds/14/cardano-use-cases-concepts/fictionforge-on-chain-collaborative-writing-platform" TargetMode="External"/><Relationship Id="rId120" Type="http://schemas.openxmlformats.org/officeDocument/2006/relationships/hyperlink" Target="https://projectcatalyst.io/funds/14/cardano-use-cases-concepts/mvp-for-privacy-preserving-clob-dex-on-midnight" TargetMode="External"/><Relationship Id="rId241" Type="http://schemas.openxmlformats.org/officeDocument/2006/relationships/hyperlink" Target="https://projectcatalyst.io/funds/14/cardano-use-cases-concepts/decentralized-presidential-voting-system" TargetMode="External"/><Relationship Id="rId362" Type="http://schemas.openxmlformats.org/officeDocument/2006/relationships/hyperlink" Target="https://projectcatalyst.io/funds/14/cardano-use-cases-concepts/blab-decentralized-ai-platform-for-memecoin-analytics" TargetMode="External"/><Relationship Id="rId240" Type="http://schemas.openxmlformats.org/officeDocument/2006/relationships/hyperlink" Target="https://projectcatalyst.io/funds/14/cardano-use-cases-concepts/onchain-task-and-contributor-verification" TargetMode="External"/><Relationship Id="rId361" Type="http://schemas.openxmlformats.org/officeDocument/2006/relationships/hyperlink" Target="https://projectcatalyst.io/funds/14/cardano-use-cases-concepts/2fund-a-trust-based-flash-funding-platform" TargetMode="External"/><Relationship Id="rId360" Type="http://schemas.openxmlformats.org/officeDocument/2006/relationships/hyperlink" Target="https://projectcatalyst.io/funds/14/cardano-use-cases-concepts/adaride-pay-and-earn-through-taxi-rides" TargetMode="External"/><Relationship Id="rId125" Type="http://schemas.openxmlformats.org/officeDocument/2006/relationships/hyperlink" Target="https://projectcatalyst.io/funds/14/cardano-use-cases-concepts/exura-eutxo-transaction-and-portfolio-intelligence" TargetMode="External"/><Relationship Id="rId246" Type="http://schemas.openxmlformats.org/officeDocument/2006/relationships/hyperlink" Target="https://projectcatalyst.io/funds/14/cardano-use-cases-concepts/agentic-ai-for-disseminating-cardano-insights" TargetMode="External"/><Relationship Id="rId367" Type="http://schemas.openxmlformats.org/officeDocument/2006/relationships/hyperlink" Target="https://projectcatalyst.io/funds/14/cardano-use-cases-concepts/quattro-work-for-4-companies-at-once-use-1-cardano-nft" TargetMode="External"/><Relationship Id="rId124" Type="http://schemas.openxmlformats.org/officeDocument/2006/relationships/hyperlink" Target="https://projectcatalyst.io/funds/14/cardano-use-cases-concepts/nkrypt-cardanos-proof-of-engagement-creator-social-hub" TargetMode="External"/><Relationship Id="rId245" Type="http://schemas.openxmlformats.org/officeDocument/2006/relationships/hyperlink" Target="https://projectcatalyst.io/funds/14/cardano-use-cases-concepts/vendano-contactbased-cardano-wallet-ios-android" TargetMode="External"/><Relationship Id="rId366" Type="http://schemas.openxmlformats.org/officeDocument/2006/relationships/hyperlink" Target="https://projectcatalyst.io/funds/14/cardano-use-cases-concepts/chat-ching-pay-and-earn-yields-through-your-messaging-app" TargetMode="External"/><Relationship Id="rId123" Type="http://schemas.openxmlformats.org/officeDocument/2006/relationships/hyperlink" Target="https://projectcatalyst.io/funds/14/cardano-use-cases-concepts/empowering-citizens-to-improve-cities-powered-by-hydra" TargetMode="External"/><Relationship Id="rId244" Type="http://schemas.openxmlformats.org/officeDocument/2006/relationships/hyperlink" Target="https://projectcatalyst.io/funds/14/cardano-use-cases-concepts/bendingai-advanced-cardano-defi-and-wallet-analytics" TargetMode="External"/><Relationship Id="rId365" Type="http://schemas.openxmlformats.org/officeDocument/2006/relationships/hyperlink" Target="https://projectcatalyst.io/funds/14/cardano-use-cases-concepts/pollifynet-decentralized-governance-and-truth-certification" TargetMode="External"/><Relationship Id="rId122" Type="http://schemas.openxmlformats.org/officeDocument/2006/relationships/hyperlink" Target="https://projectcatalyst.io/funds/14/cardano-use-cases-concepts/cardanobeam-rebooting-depin-event-management" TargetMode="External"/><Relationship Id="rId243" Type="http://schemas.openxmlformats.org/officeDocument/2006/relationships/hyperlink" Target="https://projectcatalyst.io/funds/14/cardano-use-cases-concepts/ultradecentralisedmoney-cardano-metrics-hub" TargetMode="External"/><Relationship Id="rId364" Type="http://schemas.openxmlformats.org/officeDocument/2006/relationships/hyperlink" Target="https://projectcatalyst.io/funds/14/cardano-use-cases-concepts/democratizing-collecting-association-based-access-model" TargetMode="External"/><Relationship Id="rId95" Type="http://schemas.openxmlformats.org/officeDocument/2006/relationships/hyperlink" Target="https://projectcatalyst.io/funds/14/cardano-use-cases-concepts/k3-labs-and-waffle-capital-or-initial-ai-automation-mvp" TargetMode="External"/><Relationship Id="rId94" Type="http://schemas.openxmlformats.org/officeDocument/2006/relationships/hyperlink" Target="https://projectcatalyst.io/funds/14/cardano-use-cases-concepts/cardano-ai-powered-gtm-intelligence-on-chain-growth-engine" TargetMode="External"/><Relationship Id="rId97" Type="http://schemas.openxmlformats.org/officeDocument/2006/relationships/hyperlink" Target="https://projectcatalyst.io/funds/14/cardano-use-cases-concepts/cardano-for-salesforce" TargetMode="External"/><Relationship Id="rId96" Type="http://schemas.openxmlformats.org/officeDocument/2006/relationships/hyperlink" Target="https://projectcatalyst.io/funds/14/cardano-use-cases-concepts/cardano-random-lottery-fair-decentralized-draw" TargetMode="External"/><Relationship Id="rId99" Type="http://schemas.openxmlformats.org/officeDocument/2006/relationships/hyperlink" Target="https://projectcatalyst.io/funds/14/cardano-use-cases-concepts/non-custodial-ai-trading-bot-on-cardano" TargetMode="External"/><Relationship Id="rId98" Type="http://schemas.openxmlformats.org/officeDocument/2006/relationships/hyperlink" Target="https://projectcatalyst.io/funds/14/cardano-use-cases-concepts/hydrotrace-trustworthy-water-allocation-and-tracing" TargetMode="External"/><Relationship Id="rId91" Type="http://schemas.openxmlformats.org/officeDocument/2006/relationships/hyperlink" Target="https://projectcatalyst.io/funds/14/cardano-use-cases-concepts/knightsafe-stablecoin-vault-with-staking-and-dex-access" TargetMode="External"/><Relationship Id="rId90" Type="http://schemas.openxmlformats.org/officeDocument/2006/relationships/hyperlink" Target="https://projectcatalyst.io/funds/14/cardano-use-cases-concepts/ai-powered-real-time-fraud-detection-for-cardano-defi" TargetMode="External"/><Relationship Id="rId93" Type="http://schemas.openxmlformats.org/officeDocument/2006/relationships/hyperlink" Target="https://projectcatalyst.io/funds/14/cardano-use-cases-concepts/first-cardano-research-library-with-on-chain-verification" TargetMode="External"/><Relationship Id="rId92" Type="http://schemas.openxmlformats.org/officeDocument/2006/relationships/hyperlink" Target="https://projectcatalyst.io/funds/14/cardano-use-cases-concepts/cardanoraffle-an-open-source-community-tool" TargetMode="External"/><Relationship Id="rId118" Type="http://schemas.openxmlformats.org/officeDocument/2006/relationships/hyperlink" Target="https://projectcatalyst.io/funds/14/cardano-use-cases-concepts/covo-land-rights-with-veridian-dids-vcs-and-nfts" TargetMode="External"/><Relationship Id="rId239" Type="http://schemas.openxmlformats.org/officeDocument/2006/relationships/hyperlink" Target="https://projectcatalyst.io/funds/14/cardano-use-cases-concepts/saucecafe-decentralised-social-intelligence-platform" TargetMode="External"/><Relationship Id="rId117" Type="http://schemas.openxmlformats.org/officeDocument/2006/relationships/hyperlink" Target="https://projectcatalyst.io/funds/14/cardano-use-cases-concepts/private-remittances-with-midnight" TargetMode="External"/><Relationship Id="rId238" Type="http://schemas.openxmlformats.org/officeDocument/2006/relationships/hyperlink" Target="https://projectcatalyst.io/funds/14/cardano-use-cases-concepts/fractionalized-telocommunication-infrastructure-on-cardano" TargetMode="External"/><Relationship Id="rId359" Type="http://schemas.openxmlformats.org/officeDocument/2006/relationships/hyperlink" Target="https://projectcatalyst.io/funds/14/cardano-use-cases-concepts/cardano-powered-digital-identity-for-refugees-and-unbanked" TargetMode="External"/><Relationship Id="rId116" Type="http://schemas.openxmlformats.org/officeDocument/2006/relationships/hyperlink" Target="https://projectcatalyst.io/funds/14/cardano-use-cases-concepts/disrupting-x509-building-legal-arguments-for-cardano" TargetMode="External"/><Relationship Id="rId237" Type="http://schemas.openxmlformats.org/officeDocument/2006/relationships/hyperlink" Target="https://projectcatalyst.io/funds/14/cardano-use-cases-concepts/high-yield-tokenized-carbon-credits" TargetMode="External"/><Relationship Id="rId358" Type="http://schemas.openxmlformats.org/officeDocument/2006/relationships/hyperlink" Target="https://projectcatalyst.io/funds/14/cardano-use-cases-concepts/reafino-smartplay-fully-on-chain-games-with-a-realfi-angle" TargetMode="External"/><Relationship Id="rId115" Type="http://schemas.openxmlformats.org/officeDocument/2006/relationships/hyperlink" Target="https://projectcatalyst.io/funds/14/cardano-use-cases-concepts/successful-crypto-payments-app-bringing-50k-txs-to-cardano" TargetMode="External"/><Relationship Id="rId236" Type="http://schemas.openxmlformats.org/officeDocument/2006/relationships/hyperlink" Target="https://projectcatalyst.io/funds/14/cardano-use-cases-concepts/w3bflix" TargetMode="External"/><Relationship Id="rId357" Type="http://schemas.openxmlformats.org/officeDocument/2006/relationships/hyperlink" Target="https://projectcatalyst.io/funds/14/cardano-use-cases-concepts/dig-governance-app-blockchain-voting-for-business-chambers" TargetMode="External"/><Relationship Id="rId119" Type="http://schemas.openxmlformats.org/officeDocument/2006/relationships/hyperlink" Target="https://projectcatalyst.io/funds/14/cardano-use-cases-concepts/own-earn-passive-income-from-tokenized-real-estate" TargetMode="External"/><Relationship Id="rId110" Type="http://schemas.openxmlformats.org/officeDocument/2006/relationships/hyperlink" Target="https://projectcatalyst.io/funds/14/cardano-use-cases-concepts/keep-your-organs-let-us-buy-the-summit-tickets" TargetMode="External"/><Relationship Id="rId231" Type="http://schemas.openxmlformats.org/officeDocument/2006/relationships/hyperlink" Target="https://projectcatalyst.io/funds/14/cardano-use-cases-concepts/vnx-licensed-european-non-usd-stablecoins-for-cardano" TargetMode="External"/><Relationship Id="rId352" Type="http://schemas.openxmlformats.org/officeDocument/2006/relationships/hyperlink" Target="https://projectcatalyst.io/funds/14/cardano-use-cases-concepts/tex-ledgermeet-ai-meeting-summary-sealed-on-cardano" TargetMode="External"/><Relationship Id="rId230" Type="http://schemas.openxmlformats.org/officeDocument/2006/relationships/hyperlink" Target="https://projectcatalyst.io/funds/14/cardano-use-cases-concepts/scalable-cooperative-microlending-dapp" TargetMode="External"/><Relationship Id="rId351" Type="http://schemas.openxmlformats.org/officeDocument/2006/relationships/hyperlink" Target="https://projectcatalyst.io/funds/14/cardano-use-cases-concepts/addonx-p2p-digital-barter" TargetMode="External"/><Relationship Id="rId350" Type="http://schemas.openxmlformats.org/officeDocument/2006/relationships/hyperlink" Target="https://projectcatalyst.io/funds/14/cardano-use-cases-concepts/diamondhooveslessgreateradaxon-elevating-nfts-with-private-chatbots" TargetMode="External"/><Relationship Id="rId114" Type="http://schemas.openxmlformats.org/officeDocument/2006/relationships/hyperlink" Target="https://projectcatalyst.io/funds/14/cardano-use-cases-concepts/on-chain-verifiable-chemistry" TargetMode="External"/><Relationship Id="rId235" Type="http://schemas.openxmlformats.org/officeDocument/2006/relationships/hyperlink" Target="https://projectcatalyst.io/funds/14/cardano-use-cases-concepts/defi-buddy-simplifying-defi-for-everyone" TargetMode="External"/><Relationship Id="rId356" Type="http://schemas.openxmlformats.org/officeDocument/2006/relationships/hyperlink" Target="https://projectcatalyst.io/funds/14/cardano-use-cases-concepts/adabites-explore-and-rate-restaurants-with-blockchain-trust" TargetMode="External"/><Relationship Id="rId113" Type="http://schemas.openxmlformats.org/officeDocument/2006/relationships/hyperlink" Target="https://projectcatalyst.io/funds/14/cardano-use-cases-concepts/spidex-ai-powered-risk-analysis-tool-for-cardano-defi" TargetMode="External"/><Relationship Id="rId234" Type="http://schemas.openxmlformats.org/officeDocument/2006/relationships/hyperlink" Target="https://projectcatalyst.io/funds/14/cardano-use-cases-concepts/trustless-cross-chain-atomic-swaps-for-cardano" TargetMode="External"/><Relationship Id="rId355" Type="http://schemas.openxmlformats.org/officeDocument/2006/relationships/hyperlink" Target="https://projectcatalyst.io/funds/14/cardano-use-cases-concepts/universal-skill-certification-platform-cardano-powered" TargetMode="External"/><Relationship Id="rId112" Type="http://schemas.openxmlformats.org/officeDocument/2006/relationships/hyperlink" Target="https://projectcatalyst.io/funds/14/cardano-use-cases-concepts/specialty-coffee-traceability-using-cardano-smartcontract" TargetMode="External"/><Relationship Id="rId233" Type="http://schemas.openxmlformats.org/officeDocument/2006/relationships/hyperlink" Target="https://projectcatalyst.io/funds/14/cardano-use-cases-concepts/real-time-trading-and-alerts-for-all-token-pairs-on-cardano" TargetMode="External"/><Relationship Id="rId354" Type="http://schemas.openxmlformats.org/officeDocument/2006/relationships/hyperlink" Target="https://projectcatalyst.io/funds/14/cardano-use-cases-concepts/semoto-cardano-professional-services-hub" TargetMode="External"/><Relationship Id="rId111" Type="http://schemas.openxmlformats.org/officeDocument/2006/relationships/hyperlink" Target="https://projectcatalyst.io/funds/14/cardano-use-cases-concepts/ue-nmkr-connect-cardano-nft-plugin-for-unreal-engine-5" TargetMode="External"/><Relationship Id="rId232" Type="http://schemas.openxmlformats.org/officeDocument/2006/relationships/hyperlink" Target="https://projectcatalyst.io/funds/14/cardano-use-cases-concepts/cardano-rwas-hackathon-8-industries-templates" TargetMode="External"/><Relationship Id="rId353" Type="http://schemas.openxmlformats.org/officeDocument/2006/relationships/hyperlink" Target="https://projectcatalyst.io/funds/14/cardano-use-cases-concepts/unreal-engine-plugin-with-multi-providers-gamefi-dev-tool" TargetMode="External"/><Relationship Id="rId305" Type="http://schemas.openxmlformats.org/officeDocument/2006/relationships/hyperlink" Target="https://projectcatalyst.io/funds/14/cardano-use-cases-concepts/trialnet-open-source-clinical-trials-powered-by-aiken" TargetMode="External"/><Relationship Id="rId426" Type="http://schemas.openxmlformats.org/officeDocument/2006/relationships/hyperlink" Target="https://projectcatalyst.io/funds/14/cardano-use-cases-concepts/eutxo-quest" TargetMode="External"/><Relationship Id="rId304" Type="http://schemas.openxmlformats.org/officeDocument/2006/relationships/hyperlink" Target="https://projectcatalyst.io/funds/14/cardano-use-cases-concepts/tokenizing-livestock-movements-and-life-events" TargetMode="External"/><Relationship Id="rId425" Type="http://schemas.openxmlformats.org/officeDocument/2006/relationships/hyperlink" Target="https://projectcatalyst.io/funds/14/cardano-use-cases-concepts/managewise-blockchain-ready-workforce-management" TargetMode="External"/><Relationship Id="rId303" Type="http://schemas.openxmlformats.org/officeDocument/2006/relationships/hyperlink" Target="https://projectcatalyst.io/funds/14/cardano-use-cases-concepts/neurotech-tokenomic-architecture" TargetMode="External"/><Relationship Id="rId424" Type="http://schemas.openxmlformats.org/officeDocument/2006/relationships/hyperlink" Target="https://projectcatalyst.io/funds/14/cardano-use-cases-concepts/carbontrace-making-your-carbon-footprint-part-of-the-choice" TargetMode="External"/><Relationship Id="rId302" Type="http://schemas.openxmlformats.org/officeDocument/2006/relationships/hyperlink" Target="https://projectcatalyst.io/funds/14/cardano-use-cases-concepts/the-first-cardano-native-cti-crypto-traded-index-token" TargetMode="External"/><Relationship Id="rId423" Type="http://schemas.openxmlformats.org/officeDocument/2006/relationships/hyperlink" Target="https://projectcatalyst.io/funds/14/cardano-use-cases-concepts/eyeot-the-iot-supernetwork-no-one-can-shut-down" TargetMode="External"/><Relationship Id="rId309" Type="http://schemas.openxmlformats.org/officeDocument/2006/relationships/hyperlink" Target="https://projectcatalyst.io/funds/14/cardano-use-cases-concepts/tokenstay-tokenized-real-estate-on-cardano" TargetMode="External"/><Relationship Id="rId308" Type="http://schemas.openxmlformats.org/officeDocument/2006/relationships/hyperlink" Target="https://projectcatalyst.io/funds/14/cardano-use-cases-concepts/empowering-african-youth-football-via-cardano-blockchain" TargetMode="External"/><Relationship Id="rId429" Type="http://schemas.openxmlformats.org/officeDocument/2006/relationships/hyperlink" Target="https://projectcatalyst.io/funds/14/cardano-use-cases-concepts/m4w-offline-field-data-collection-tool-feasibility-and-mvp" TargetMode="External"/><Relationship Id="rId307" Type="http://schemas.openxmlformats.org/officeDocument/2006/relationships/hyperlink" Target="https://projectcatalyst.io/funds/14/cardano-use-cases-concepts/lovechain-proof-of-concept-private-dating-on-cardano" TargetMode="External"/><Relationship Id="rId428" Type="http://schemas.openxmlformats.org/officeDocument/2006/relationships/hyperlink" Target="https://projectcatalyst.io/funds/14/cardano-use-cases-concepts/crowd-x-for-climate-justice" TargetMode="External"/><Relationship Id="rId306" Type="http://schemas.openxmlformats.org/officeDocument/2006/relationships/hyperlink" Target="https://projectcatalyst.io/funds/14/cardano-use-cases-concepts/dpopa-digital-proof-of-ownership-for-assets" TargetMode="External"/><Relationship Id="rId427" Type="http://schemas.openxmlformats.org/officeDocument/2006/relationships/hyperlink" Target="https://projectcatalyst.io/funds/14/cardano-use-cases-concepts/emaji-trusted-wallet-for-healthcare-workforce-innovation" TargetMode="External"/><Relationship Id="rId301" Type="http://schemas.openxmlformats.org/officeDocument/2006/relationships/hyperlink" Target="https://projectcatalyst.io/funds/14/cardano-use-cases-concepts/tamper-proof-insurance-policies-via-blockchain-and-dids" TargetMode="External"/><Relationship Id="rId422" Type="http://schemas.openxmlformats.org/officeDocument/2006/relationships/hyperlink" Target="https://projectcatalyst.io/funds/14/cardano-use-cases-concepts/coinmri" TargetMode="External"/><Relationship Id="rId300" Type="http://schemas.openxmlformats.org/officeDocument/2006/relationships/hyperlink" Target="https://projectcatalyst.io/funds/14/cardano-use-cases-concepts/mapping-agency-with-graph-analysis-in-cardano" TargetMode="External"/><Relationship Id="rId421" Type="http://schemas.openxmlformats.org/officeDocument/2006/relationships/hyperlink" Target="https://projectcatalyst.io/funds/14/cardano-use-cases-concepts/open-source-educational-reforestation-game" TargetMode="External"/><Relationship Id="rId420" Type="http://schemas.openxmlformats.org/officeDocument/2006/relationships/hyperlink" Target="https://projectcatalyst.io/funds/14/cardano-use-cases-concepts/trimex-transparent-importexport-platform" TargetMode="External"/><Relationship Id="rId415" Type="http://schemas.openxmlformats.org/officeDocument/2006/relationships/hyperlink" Target="https://projectcatalyst.io/funds/14/cardano-use-cases-concepts/cardano-based-e-ticketing-mvp-for-accra-events" TargetMode="External"/><Relationship Id="rId414" Type="http://schemas.openxmlformats.org/officeDocument/2006/relationships/hyperlink" Target="https://projectcatalyst.io/funds/14/cardano-use-cases-concepts/keysphere-reinventing-self-custody" TargetMode="External"/><Relationship Id="rId413" Type="http://schemas.openxmlformats.org/officeDocument/2006/relationships/hyperlink" Target="https://projectcatalyst.io/funds/14/cardano-use-cases-concepts/hetzerk-frameworkfree-precompiled-training-and-simulation" TargetMode="External"/><Relationship Id="rId412" Type="http://schemas.openxmlformats.org/officeDocument/2006/relationships/hyperlink" Target="https://projectcatalyst.io/funds/14/cardano-use-cases-concepts/cardano-blockchain-game-leaderboard" TargetMode="External"/><Relationship Id="rId419" Type="http://schemas.openxmlformats.org/officeDocument/2006/relationships/hyperlink" Target="https://projectcatalyst.io/funds/14/cardano-use-cases-concepts/plot-based-tokenization-for-verified-mangrove-restoration" TargetMode="External"/><Relationship Id="rId418" Type="http://schemas.openxmlformats.org/officeDocument/2006/relationships/hyperlink" Target="https://projectcatalyst.io/funds/14/cardano-use-cases-concepts/semoto-verifiable-professional-credentials" TargetMode="External"/><Relationship Id="rId417" Type="http://schemas.openxmlformats.org/officeDocument/2006/relationships/hyperlink" Target="https://projectcatalyst.io/funds/14/cardano-use-cases-concepts/motocore-biker-app-nft-routes-and-safe-rides-using-nodes" TargetMode="External"/><Relationship Id="rId416" Type="http://schemas.openxmlformats.org/officeDocument/2006/relationships/hyperlink" Target="https://projectcatalyst.io/funds/14/cardano-use-cases-concepts/blockchat-intelligent-ai-for-seamless-cardano-support" TargetMode="External"/><Relationship Id="rId411" Type="http://schemas.openxmlformats.org/officeDocument/2006/relationships/hyperlink" Target="https://projectcatalyst.io/funds/14/cardano-use-cases-concepts/sheba-create-empowering-ethiopian-artisans-on-cardano" TargetMode="External"/><Relationship Id="rId410" Type="http://schemas.openxmlformats.org/officeDocument/2006/relationships/hyperlink" Target="https://projectcatalyst.io/funds/14/cardano-use-cases-concepts/catalyst-real-reuse" TargetMode="External"/><Relationship Id="rId206" Type="http://schemas.openxmlformats.org/officeDocument/2006/relationships/hyperlink" Target="https://projectcatalyst.io/funds/14/cardano-use-cases-concepts/distribution-transformer-monitoring-using-cardano-and-iot" TargetMode="External"/><Relationship Id="rId327" Type="http://schemas.openxmlformats.org/officeDocument/2006/relationships/hyperlink" Target="https://projectcatalyst.io/funds/14/cardano-use-cases-concepts/cardano-knowledgehub-a-rag-powered-ai-for-ecosystem-growth" TargetMode="External"/><Relationship Id="rId448" Type="http://schemas.openxmlformats.org/officeDocument/2006/relationships/hyperlink" Target="https://projectcatalyst.io/funds/14/cardano-use-cases-concepts/decentralized-ride-sharing-reputation-system-for-ethiopia" TargetMode="External"/><Relationship Id="rId205" Type="http://schemas.openxmlformats.org/officeDocument/2006/relationships/hyperlink" Target="https://projectcatalyst.io/funds/14/cardano-use-cases-concepts/payshare-share-links-receive-payments" TargetMode="External"/><Relationship Id="rId326" Type="http://schemas.openxmlformats.org/officeDocument/2006/relationships/hyperlink" Target="https://projectcatalyst.io/funds/14/cardano-use-cases-concepts/skybrain-neural-data-ownership-on-cardano" TargetMode="External"/><Relationship Id="rId447" Type="http://schemas.openxmlformats.org/officeDocument/2006/relationships/hyperlink" Target="https://projectcatalyst.io/funds/14/cardano-use-cases-concepts/turning-daily-steps-into-digital-value-with-cardano" TargetMode="External"/><Relationship Id="rId204" Type="http://schemas.openxmlformats.org/officeDocument/2006/relationships/hyperlink" Target="https://projectcatalyst.io/funds/14/cardano-use-cases-concepts/cpoker-development" TargetMode="External"/><Relationship Id="rId325" Type="http://schemas.openxmlformats.org/officeDocument/2006/relationships/hyperlink" Target="https://projectcatalyst.io/funds/14/cardano-use-cases-concepts/gigsgig-app-building-the-future-of-campus-work-with-cardano" TargetMode="External"/><Relationship Id="rId446" Type="http://schemas.openxmlformats.org/officeDocument/2006/relationships/hyperlink" Target="https://projectcatalyst.io/funds/14/cardano-use-cases-concepts/yeneta-learn2earn-on-chain-rewards-web3-learners-in-africa" TargetMode="External"/><Relationship Id="rId203" Type="http://schemas.openxmlformats.org/officeDocument/2006/relationships/hyperlink" Target="https://projectcatalyst.io/funds/14/cardano-use-cases-concepts/veriscience-decentralized-publishing-and-peer-review-on-ada" TargetMode="External"/><Relationship Id="rId324" Type="http://schemas.openxmlformats.org/officeDocument/2006/relationships/hyperlink" Target="https://projectcatalyst.io/funds/14/cardano-use-cases-concepts/rewastechain" TargetMode="External"/><Relationship Id="rId445" Type="http://schemas.openxmlformats.org/officeDocument/2006/relationships/hyperlink" Target="https://projectcatalyst.io/funds/14/cardano-use-cases-concepts/wells-of-truth-unlocking-primary-water-through-nfts-and-web3" TargetMode="External"/><Relationship Id="rId209" Type="http://schemas.openxmlformats.org/officeDocument/2006/relationships/hyperlink" Target="https://projectcatalyst.io/funds/14/cardano-use-cases-concepts/digifarm-credit-and-climate-passport" TargetMode="External"/><Relationship Id="rId208" Type="http://schemas.openxmlformats.org/officeDocument/2006/relationships/hyperlink" Target="https://projectcatalyst.io/funds/14/cardano-use-cases-concepts/greendao-carbon-credit-platform-on-cardano" TargetMode="External"/><Relationship Id="rId329" Type="http://schemas.openxmlformats.org/officeDocument/2006/relationships/hyperlink" Target="https://projectcatalyst.io/funds/14/cardano-use-cases-concepts/reafino-smartstarter-dapp-audit-and-mainnet-launch" TargetMode="External"/><Relationship Id="rId207" Type="http://schemas.openxmlformats.org/officeDocument/2006/relationships/hyperlink" Target="https://projectcatalyst.io/funds/14/cardano-use-cases-concepts/decentralized-identity-for-health-record-management" TargetMode="External"/><Relationship Id="rId328" Type="http://schemas.openxmlformats.org/officeDocument/2006/relationships/hyperlink" Target="https://projectcatalyst.io/funds/14/cardano-use-cases-concepts/building-the-future-of-socialfi-on-cardano" TargetMode="External"/><Relationship Id="rId449" Type="http://schemas.openxmlformats.org/officeDocument/2006/relationships/hyperlink" Target="https://projectcatalyst.io/funds/14/cardano-use-cases-concepts/saomai-collateral-backed-donations-secured-by-cardano" TargetMode="External"/><Relationship Id="rId440" Type="http://schemas.openxmlformats.org/officeDocument/2006/relationships/hyperlink" Target="https://projectcatalyst.io/funds/14/cardano-use-cases-concepts/kenyan-public-servants-financial-literacy-with-cardano" TargetMode="External"/><Relationship Id="rId202" Type="http://schemas.openxmlformats.org/officeDocument/2006/relationships/hyperlink" Target="https://projectcatalyst.io/funds/14/cardano-use-cases-concepts/seamless-fiat-to-cardano-token-onoff-ramp" TargetMode="External"/><Relationship Id="rId323" Type="http://schemas.openxmlformats.org/officeDocument/2006/relationships/hyperlink" Target="https://projectcatalyst.io/funds/14/cardano-use-cases-concepts/eonpower-cardano-backed-solar-energy-solutions-for-africa" TargetMode="External"/><Relationship Id="rId444" Type="http://schemas.openxmlformats.org/officeDocument/2006/relationships/hyperlink" Target="https://projectcatalyst.io/funds/14/cardano-use-cases-concepts/kvaustraldaustral-solaustralr-telemeasurement-and-final-disposal" TargetMode="External"/><Relationship Id="rId201" Type="http://schemas.openxmlformats.org/officeDocument/2006/relationships/hyperlink" Target="https://projectcatalyst.io/funds/14/cardano-use-cases-concepts/bring-ada-payments-to-millions-of-odoo-erp-based-businesses" TargetMode="External"/><Relationship Id="rId322" Type="http://schemas.openxmlformats.org/officeDocument/2006/relationships/hyperlink" Target="https://projectcatalyst.io/funds/14/cardano-use-cases-concepts/cardsynth" TargetMode="External"/><Relationship Id="rId443" Type="http://schemas.openxmlformats.org/officeDocument/2006/relationships/hyperlink" Target="https://projectcatalyst.io/funds/14/cardano-use-cases-concepts/projex-unitry-university-tree-of-life-for-students-and-alumni" TargetMode="External"/><Relationship Id="rId200" Type="http://schemas.openxmlformats.org/officeDocument/2006/relationships/hyperlink" Target="https://projectcatalyst.io/funds/14/cardano-use-cases-concepts/dcu-decetralized-credit-unions-toolkit-on-cardano" TargetMode="External"/><Relationship Id="rId321" Type="http://schemas.openxmlformats.org/officeDocument/2006/relationships/hyperlink" Target="https://projectcatalyst.io/funds/14/cardano-use-cases-concepts/hyper-usd-a-slippage-resistant-stablecoin-hyperstructure" TargetMode="External"/><Relationship Id="rId442" Type="http://schemas.openxmlformats.org/officeDocument/2006/relationships/hyperlink" Target="https://projectcatalyst.io/funds/14/cardano-use-cases-concepts/vietassistnet-matching-jobs-and-businesses-on-the-cardano" TargetMode="External"/><Relationship Id="rId320" Type="http://schemas.openxmlformats.org/officeDocument/2006/relationships/hyperlink" Target="https://projectcatalyst.io/funds/14/cardano-use-cases-concepts/ai-learn-to-earn-platform-for-cardano-onboarding" TargetMode="External"/><Relationship Id="rId441" Type="http://schemas.openxmlformats.org/officeDocument/2006/relationships/hyperlink" Target="https://projectcatalyst.io/funds/14/cardano-use-cases-concepts/nocode-blockchain-credential-platform-for-training-providers" TargetMode="External"/><Relationship Id="rId316" Type="http://schemas.openxmlformats.org/officeDocument/2006/relationships/hyperlink" Target="https://projectcatalyst.io/funds/14/cardano-use-cases-concepts/content-origin-attestation-proposal" TargetMode="External"/><Relationship Id="rId437" Type="http://schemas.openxmlformats.org/officeDocument/2006/relationships/hyperlink" Target="https://projectcatalyst.io/funds/14/cardano-use-cases-concepts/cardano-hub-indonesia-nusound-terra-music-platform" TargetMode="External"/><Relationship Id="rId315" Type="http://schemas.openxmlformats.org/officeDocument/2006/relationships/hyperlink" Target="https://projectcatalyst.io/funds/14/cardano-use-cases-concepts/blockchain-verified-carbon-sequestration-and-tokenization" TargetMode="External"/><Relationship Id="rId436" Type="http://schemas.openxmlformats.org/officeDocument/2006/relationships/hyperlink" Target="https://projectcatalyst.io/funds/14/cardano-use-cases-concepts/r-upc-meme-token-powering-change-in-cameroon-and-beyond" TargetMode="External"/><Relationship Id="rId314" Type="http://schemas.openxmlformats.org/officeDocument/2006/relationships/hyperlink" Target="https://projectcatalyst.io/funds/14/cardano-use-cases-concepts/uverify-template-library-for-cardano-certificates" TargetMode="External"/><Relationship Id="rId435" Type="http://schemas.openxmlformats.org/officeDocument/2006/relationships/hyperlink" Target="https://projectcatalyst.io/funds/14/cardano-use-cases-concepts/the-consciousness-singularity-healing-humanitys-soul" TargetMode="External"/><Relationship Id="rId313" Type="http://schemas.openxmlformats.org/officeDocument/2006/relationships/hyperlink" Target="https://projectcatalyst.io/funds/14/cardano-use-cases-concepts/blue-nile-pay-empowering-tourism-with-securecardano-payment" TargetMode="External"/><Relationship Id="rId434" Type="http://schemas.openxmlformats.org/officeDocument/2006/relationships/hyperlink" Target="https://projectcatalyst.io/funds/14/cardano-use-cases-concepts/adiuvat-reviving-local-venues-and-businesses" TargetMode="External"/><Relationship Id="rId319" Type="http://schemas.openxmlformats.org/officeDocument/2006/relationships/hyperlink" Target="https://projectcatalyst.io/funds/14/cardano-use-cases-concepts/cardano-talent-and-gig-marketplace" TargetMode="External"/><Relationship Id="rId318" Type="http://schemas.openxmlformats.org/officeDocument/2006/relationships/hyperlink" Target="https://projectcatalyst.io/funds/14/cardano-use-cases-concepts/decentralized-circular-economy-marketplace" TargetMode="External"/><Relationship Id="rId439" Type="http://schemas.openxmlformats.org/officeDocument/2006/relationships/hyperlink" Target="https://projectcatalyst.io/funds/14/cardano-use-cases-concepts/bridging-bars-bridging-the-gap-between-addicts-and-help" TargetMode="External"/><Relationship Id="rId317" Type="http://schemas.openxmlformats.org/officeDocument/2006/relationships/hyperlink" Target="https://projectcatalyst.io/funds/14/cardano-use-cases-concepts/originate-medtrace" TargetMode="External"/><Relationship Id="rId438" Type="http://schemas.openxmlformats.org/officeDocument/2006/relationships/hyperlink" Target="https://projectcatalyst.io/funds/14/cardano-use-cases-concepts/entire-co-working-space-tokenized-sova-hcm-on-cardano" TargetMode="External"/><Relationship Id="rId312" Type="http://schemas.openxmlformats.org/officeDocument/2006/relationships/hyperlink" Target="https://projectcatalyst.io/funds/14/cardano-use-cases-concepts/cardano-kit-for-communities-beyonders-collective-biohub" TargetMode="External"/><Relationship Id="rId433" Type="http://schemas.openxmlformats.org/officeDocument/2006/relationships/hyperlink" Target="https://projectcatalyst.io/funds/14/cardano-use-cases-concepts/nextgen-media-minds-certified-by-cardano" TargetMode="External"/><Relationship Id="rId311" Type="http://schemas.openxmlformats.org/officeDocument/2006/relationships/hyperlink" Target="https://projectcatalyst.io/funds/14/cardano-use-cases-concepts/reasonchain-zk-attested-ai-chain-of-thought-oracle" TargetMode="External"/><Relationship Id="rId432" Type="http://schemas.openxmlformats.org/officeDocument/2006/relationships/hyperlink" Target="https://projectcatalyst.io/funds/14/cardano-use-cases-concepts/carmemeshift-for-daily-car-meme-community-engagement" TargetMode="External"/><Relationship Id="rId310" Type="http://schemas.openxmlformats.org/officeDocument/2006/relationships/hyperlink" Target="https://projectcatalyst.io/funds/14/cardano-use-cases-concepts/beehive-tokenization" TargetMode="External"/><Relationship Id="rId431" Type="http://schemas.openxmlformats.org/officeDocument/2006/relationships/hyperlink" Target="https://projectcatalyst.io/funds/14/cardano-use-cases-concepts/tenaland-secure-ethiopian-land-ownership-on-cardano" TargetMode="External"/><Relationship Id="rId430" Type="http://schemas.openxmlformats.org/officeDocument/2006/relationships/hyperlink" Target="https://projectcatalyst.io/funds/14/cardano-use-cases-concepts/digital-agriculture-blueprint-for-tanzania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projectcatalyst.io/funds/14/cardano-open-developers/devhub-all-cardano-resources-one-platform" TargetMode="External"/><Relationship Id="rId194" Type="http://schemas.openxmlformats.org/officeDocument/2006/relationships/hyperlink" Target="https://projectcatalyst.io/funds/14/cardano-open-developers/cardano-verifiable-media-dev-kit-c2pa-anchors" TargetMode="External"/><Relationship Id="rId193" Type="http://schemas.openxmlformats.org/officeDocument/2006/relationships/hyperlink" Target="https://projectcatalyst.io/funds/14/cardano-open-developers/cardano-dev-suite-automated-tools-and-templates" TargetMode="External"/><Relationship Id="rId192" Type="http://schemas.openxmlformats.org/officeDocument/2006/relationships/hyperlink" Target="https://projectcatalyst.io/funds/14/cardano-open-developers/basic-implementation-of-cip-0093-in-python" TargetMode="External"/><Relationship Id="rId191" Type="http://schemas.openxmlformats.org/officeDocument/2006/relationships/hyperlink" Target="https://projectcatalyst.io/funds/14/cardano-open-developers/cemscript-sdk-get-dapp-implementation-from-high-level-specs" TargetMode="External"/><Relationship Id="rId187" Type="http://schemas.openxmlformats.org/officeDocument/2006/relationships/hyperlink" Target="https://projectcatalyst.io/funds/14/cardano-open-developers/cardano-devtrack-a-cardano-development-and-tooling-platform" TargetMode="External"/><Relationship Id="rId186" Type="http://schemas.openxmlformats.org/officeDocument/2006/relationships/hyperlink" Target="https://projectcatalyst.io/funds/14/cardano-open-developers/redefining-cardano-access-and-innovation-for-all" TargetMode="External"/><Relationship Id="rId185" Type="http://schemas.openxmlformats.org/officeDocument/2006/relationships/hyperlink" Target="https://projectcatalyst.io/funds/14/cardano-open-developers/sky-protocol-implement-a-minimal-decentralized-network" TargetMode="External"/><Relationship Id="rId184" Type="http://schemas.openxmlformats.org/officeDocument/2006/relationships/hyperlink" Target="https://projectcatalyst.io/funds/14/cardano-open-developers/next-gen-testing-sandbox-for-plutus-smart-ai-for-developers" TargetMode="External"/><Relationship Id="rId189" Type="http://schemas.openxmlformats.org/officeDocument/2006/relationships/hyperlink" Target="https://projectcatalyst.io/funds/14/cardano-open-developers/catalyst-compassopen-source-ai-powered-proposal-navigator" TargetMode="External"/><Relationship Id="rId188" Type="http://schemas.openxmlformats.org/officeDocument/2006/relationships/hyperlink" Target="https://projectcatalyst.io/funds/14/cardano-open-developers/mobile-first-swift-cardano-building-blocks" TargetMode="External"/><Relationship Id="rId183" Type="http://schemas.openxmlformats.org/officeDocument/2006/relationships/hyperlink" Target="https://projectcatalyst.io/funds/14/cardano-open-developers/cardano-smart-contract-templates-library" TargetMode="External"/><Relationship Id="rId182" Type="http://schemas.openxmlformats.org/officeDocument/2006/relationships/hyperlink" Target="https://projectcatalyst.io/funds/14/cardano-open-developers/stealthwallet-self-custody-wallet-with-dex-integration" TargetMode="External"/><Relationship Id="rId181" Type="http://schemas.openxmlformats.org/officeDocument/2006/relationships/hyperlink" Target="https://projectcatalyst.io/funds/14/cardano-open-developers/enhanced-mcp-server-for-aiken-plutus-development-on-eutxo" TargetMode="External"/><Relationship Id="rId180" Type="http://schemas.openxmlformats.org/officeDocument/2006/relationships/hyperlink" Target="https://projectcatalyst.io/funds/14/cardano-open-developers/zk-cad-prior-art-vault" TargetMode="External"/><Relationship Id="rId176" Type="http://schemas.openxmlformats.org/officeDocument/2006/relationships/hyperlink" Target="https://projectcatalyst.io/funds/14/cardano-open-developers/wolfram-plutus-rag-the-ai-powered-knowledge-engine" TargetMode="External"/><Relationship Id="rId175" Type="http://schemas.openxmlformats.org/officeDocument/2006/relationships/hyperlink" Target="https://projectcatalyst.io/funds/14/cardano-open-developers/cardano-identity-a-secure-wordpress-plugin-and-token-gating" TargetMode="External"/><Relationship Id="rId174" Type="http://schemas.openxmlformats.org/officeDocument/2006/relationships/hyperlink" Target="https://projectcatalyst.io/funds/14/cardano-open-developers/aiken-playground-online-ide" TargetMode="External"/><Relationship Id="rId173" Type="http://schemas.openxmlformats.org/officeDocument/2006/relationships/hyperlink" Target="https://projectcatalyst.io/funds/14/cardano-open-developers/frictionless-onboarding-open-source-web2-login-to-wallet" TargetMode="External"/><Relationship Id="rId179" Type="http://schemas.openxmlformats.org/officeDocument/2006/relationships/hyperlink" Target="https://projectcatalyst.io/funds/14/cardano-open-developers/connect-the-dots-cardano-integration-for-drupal" TargetMode="External"/><Relationship Id="rId178" Type="http://schemas.openxmlformats.org/officeDocument/2006/relationships/hyperlink" Target="https://projectcatalyst.io/funds/14/cardano-open-developers/add-datalog-support-and-power-to-cardano-developers" TargetMode="External"/><Relationship Id="rId177" Type="http://schemas.openxmlformats.org/officeDocument/2006/relationships/hyperlink" Target="https://projectcatalyst.io/funds/14/cardano-open-developers/uplc-stepper-the-cardano-smart-contract-debugger" TargetMode="External"/><Relationship Id="rId198" Type="http://schemas.openxmlformats.org/officeDocument/2006/relationships/hyperlink" Target="https://projectcatalyst.io/funds/14/cardano-open-developers/catalystbridge-accessibility-for-catalyst-governance" TargetMode="External"/><Relationship Id="rId197" Type="http://schemas.openxmlformats.org/officeDocument/2006/relationships/hyperlink" Target="https://projectcatalyst.io/funds/14/cardano-open-developers/adam-cardano-spo-visibility-and-open-source-price-api" TargetMode="External"/><Relationship Id="rId196" Type="http://schemas.openxmlformats.org/officeDocument/2006/relationships/hyperlink" Target="https://projectcatalyst.io/funds/14/cardano-open-developers/aegis-your-ai-security-guardian-for-cardano" TargetMode="External"/><Relationship Id="rId195" Type="http://schemas.openxmlformats.org/officeDocument/2006/relationships/hyperlink" Target="https://projectcatalyst.io/funds/14/cardano-open-developers/cardano-kubernetes-operator" TargetMode="External"/><Relationship Id="rId199" Type="http://schemas.openxmlformats.org/officeDocument/2006/relationships/hyperlink" Target="https://projectcatalyst.io/funds/14/cardano-open-developers/cardano-web3-toolkit-build-dapps-and-contracts" TargetMode="External"/><Relationship Id="rId150" Type="http://schemas.openxmlformats.org/officeDocument/2006/relationships/hyperlink" Target="https://projectcatalyst.io/funds/14/cardano-open-developers/blab-hydras-first-steps-for-dev-5-dapp-templates-on-l2" TargetMode="External"/><Relationship Id="rId1" Type="http://schemas.openxmlformats.org/officeDocument/2006/relationships/hyperlink" Target="https://projectcatalyst.io/funds/14/cardano-open-developers/charli3-open-source-oracle-sdk" TargetMode="External"/><Relationship Id="rId2" Type="http://schemas.openxmlformats.org/officeDocument/2006/relationships/hyperlink" Target="https://projectcatalyst.io/funds/14/cardano-open-developers/charli3-dendrite-v2-dex-lending-p2p-defi-data-upgrades" TargetMode="External"/><Relationship Id="rId3" Type="http://schemas.openxmlformats.org/officeDocument/2006/relationships/hyperlink" Target="https://projectcatalyst.io/funds/14/cardano-open-developers/ogmiosdotnet-cardano-blockchain-events-and-visualisation" TargetMode="External"/><Relationship Id="rId149" Type="http://schemas.openxmlformats.org/officeDocument/2006/relationships/hyperlink" Target="https://projectcatalyst.io/funds/14/cardano-open-developers/cardano-impact-devkit-attestations-and-governance-sdkcli" TargetMode="External"/><Relationship Id="rId4" Type="http://schemas.openxmlformats.org/officeDocument/2006/relationships/hyperlink" Target="https://projectcatalyst.io/funds/14/cardano-open-developers/cardano-defi-sdk-dexter-and-iris-v2" TargetMode="External"/><Relationship Id="rId148" Type="http://schemas.openxmlformats.org/officeDocument/2006/relationships/hyperlink" Target="https://projectcatalyst.io/funds/14/cardano-open-developers/tmt-cardano-native-token-minter" TargetMode="External"/><Relationship Id="rId9" Type="http://schemas.openxmlformats.org/officeDocument/2006/relationships/hyperlink" Target="https://projectcatalyst.io/funds/14/cardano-open-developers/eip-712-typed-structured-data-signing-for-cardano" TargetMode="External"/><Relationship Id="rId143" Type="http://schemas.openxmlformats.org/officeDocument/2006/relationships/hyperlink" Target="https://projectcatalyst.io/funds/14/cardano-open-developers/governance-ai-assitant" TargetMode="External"/><Relationship Id="rId264" Type="http://schemas.openxmlformats.org/officeDocument/2006/relationships/hyperlink" Target="https://projectcatalyst.io/funds/14/cardano-open-developers/seedcoin-tokenizing-radicle-to-grow-cardanos-dev-roots" TargetMode="External"/><Relationship Id="rId142" Type="http://schemas.openxmlformats.org/officeDocument/2006/relationships/hyperlink" Target="https://projectcatalyst.io/funds/14/cardano-open-developers/defi-hub-one-open-standard-all-cardano-defi-in-one-place" TargetMode="External"/><Relationship Id="rId263" Type="http://schemas.openxmlformats.org/officeDocument/2006/relationships/hyperlink" Target="https://projectcatalyst.io/funds/14/cardano-open-developers/animdev-toolkit-open-source-animation-for-cardano" TargetMode="External"/><Relationship Id="rId141" Type="http://schemas.openxmlformats.org/officeDocument/2006/relationships/hyperlink" Target="https://projectcatalyst.io/funds/14/cardano-open-developers/cardano-devnet-sandbox-hardhatanvil-style-local-testnet" TargetMode="External"/><Relationship Id="rId262" Type="http://schemas.openxmlformats.org/officeDocument/2006/relationships/hyperlink" Target="https://projectcatalyst.io/funds/14/cardano-open-developers/cardano-transaction-cost-estimator-cli" TargetMode="External"/><Relationship Id="rId140" Type="http://schemas.openxmlformats.org/officeDocument/2006/relationships/hyperlink" Target="https://projectcatalyst.io/funds/14/cardano-open-developers/global-waste-recovery-verified-connection-through-cardano" TargetMode="External"/><Relationship Id="rId261" Type="http://schemas.openxmlformats.org/officeDocument/2006/relationships/hyperlink" Target="https://projectcatalyst.io/funds/14/cardano-open-developers/cardano-blockchain-import-export-fx-gateway-for-ethiopia" TargetMode="External"/><Relationship Id="rId5" Type="http://schemas.openxmlformats.org/officeDocument/2006/relationships/hyperlink" Target="https://projectcatalyst.io/funds/14/cardano-open-developers/anastasia-labs-smart-contract-design-patterns-conway" TargetMode="External"/><Relationship Id="rId147" Type="http://schemas.openxmlformats.org/officeDocument/2006/relationships/hyperlink" Target="https://projectcatalyst.io/funds/14/cardano-open-developers/phoenix-explorer-reviving-an-open-source-explorer" TargetMode="External"/><Relationship Id="rId6" Type="http://schemas.openxmlformats.org/officeDocument/2006/relationships/hyperlink" Target="https://projectcatalyst.io/funds/14/cardano-open-developers/ogmiosdotnet-blockchain-queries-and-transaction-submission" TargetMode="External"/><Relationship Id="rId146" Type="http://schemas.openxmlformats.org/officeDocument/2006/relationships/hyperlink" Target="https://projectcatalyst.io/funds/14/cardano-open-developers/cardano-open-source-supply-chain-traceability-api-and-sdk" TargetMode="External"/><Relationship Id="rId7" Type="http://schemas.openxmlformats.org/officeDocument/2006/relationships/hyperlink" Target="https://projectcatalyst.io/funds/14/cardano-open-developers/bitcoin-lightning-payments-on-cardano-using-cardinal" TargetMode="External"/><Relationship Id="rId145" Type="http://schemas.openxmlformats.org/officeDocument/2006/relationships/hyperlink" Target="https://projectcatalyst.io/funds/14/cardano-open-developers/blabcip68-asset-api-service-and-sdk-development" TargetMode="External"/><Relationship Id="rId8" Type="http://schemas.openxmlformats.org/officeDocument/2006/relationships/hyperlink" Target="https://projectcatalyst.io/funds/14/cardano-open-developers/vespr-walletconnect-cardano-flutter-sdk-and-vespr-integration" TargetMode="External"/><Relationship Id="rId144" Type="http://schemas.openxmlformats.org/officeDocument/2006/relationships/hyperlink" Target="https://projectcatalyst.io/funds/14/cardano-open-developers/cardapass-fraud-proof-event-ticketing-on-cardano-nft" TargetMode="External"/><Relationship Id="rId265" Type="http://schemas.openxmlformats.org/officeDocument/2006/relationships/drawing" Target="../drawings/drawing4.xml"/><Relationship Id="rId260" Type="http://schemas.openxmlformats.org/officeDocument/2006/relationships/hyperlink" Target="https://projectcatalyst.io/funds/14/cardano-open-developers/cardano-mendix-plugin-final-release" TargetMode="External"/><Relationship Id="rId139" Type="http://schemas.openxmlformats.org/officeDocument/2006/relationships/hyperlink" Target="https://projectcatalyst.io/funds/14/cardano-open-developers/cardano-ai-hub-decentralized-ai-model-ada-microtransactions" TargetMode="External"/><Relationship Id="rId138" Type="http://schemas.openxmlformats.org/officeDocument/2006/relationships/hyperlink" Target="https://projectcatalyst.io/funds/14/cardano-open-developers/reeves-integration-with-largest-erp-in-latam-totvs-protheus" TargetMode="External"/><Relationship Id="rId259" Type="http://schemas.openxmlformats.org/officeDocument/2006/relationships/hyperlink" Target="https://projectcatalyst.io/funds/14/cardano-open-developers/cardanoafrica-localization-kit" TargetMode="External"/><Relationship Id="rId137" Type="http://schemas.openxmlformats.org/officeDocument/2006/relationships/hyperlink" Target="https://projectcatalyst.io/funds/14/cardano-open-developers/public-api-and-integration-guide-for-cardano-lending-protocols" TargetMode="External"/><Relationship Id="rId258" Type="http://schemas.openxmlformats.org/officeDocument/2006/relationships/hyperlink" Target="https://projectcatalyst.io/funds/14/cardano-open-developers/lextra-model-context-protocol-wallet-extension" TargetMode="External"/><Relationship Id="rId132" Type="http://schemas.openxmlformats.org/officeDocument/2006/relationships/hyperlink" Target="https://projectcatalyst.io/funds/14/cardano-open-developers/open-source-batchers-for-orderbook-dexs" TargetMode="External"/><Relationship Id="rId253" Type="http://schemas.openxmlformats.org/officeDocument/2006/relationships/hyperlink" Target="https://projectcatalyst.io/funds/14/cardano-open-developers/adatalent" TargetMode="External"/><Relationship Id="rId131" Type="http://schemas.openxmlformats.org/officeDocument/2006/relationships/hyperlink" Target="https://projectcatalyst.io/funds/14/cardano-open-developers/geospace-api" TargetMode="External"/><Relationship Id="rId252" Type="http://schemas.openxmlformats.org/officeDocument/2006/relationships/hyperlink" Target="https://projectcatalyst.io/funds/14/cardano-open-developers/open-proposal-platform-for-decentralised-organisations" TargetMode="External"/><Relationship Id="rId130" Type="http://schemas.openxmlformats.org/officeDocument/2006/relationships/hyperlink" Target="https://projectcatalyst.io/funds/14/cardano-open-developers/midnight-privacy-voting-sdk" TargetMode="External"/><Relationship Id="rId251" Type="http://schemas.openxmlformats.org/officeDocument/2006/relationships/hyperlink" Target="https://projectcatalyst.io/funds/14/cardano-open-developers/moderntensor-decentralized-training-model-platform" TargetMode="External"/><Relationship Id="rId250" Type="http://schemas.openxmlformats.org/officeDocument/2006/relationships/hyperlink" Target="https://projectcatalyst.io/funds/14/cardano-open-developers/devcreds-verifiable-developer-badges-for-cardano" TargetMode="External"/><Relationship Id="rId136" Type="http://schemas.openxmlformats.org/officeDocument/2006/relationships/hyperlink" Target="https://projectcatalyst.io/funds/14/cardano-open-developers/smart-contract-legal-template-library-for-cardano-projects" TargetMode="External"/><Relationship Id="rId257" Type="http://schemas.openxmlformats.org/officeDocument/2006/relationships/hyperlink" Target="https://projectcatalyst.io/funds/14/cardano-open-developers/opshin-jetbrains-extension" TargetMode="External"/><Relationship Id="rId135" Type="http://schemas.openxmlformats.org/officeDocument/2006/relationships/hyperlink" Target="https://projectcatalyst.io/funds/14/cardano-open-developers/hlabs-cddl-tools" TargetMode="External"/><Relationship Id="rId256" Type="http://schemas.openxmlformats.org/officeDocument/2006/relationships/hyperlink" Target="https://projectcatalyst.io/funds/14/cardano-open-developers/cardano-data-indexer-hub" TargetMode="External"/><Relationship Id="rId134" Type="http://schemas.openxmlformats.org/officeDocument/2006/relationships/hyperlink" Target="https://projectcatalyst.io/funds/14/cardano-open-developers/multi-chain-bridge" TargetMode="External"/><Relationship Id="rId255" Type="http://schemas.openxmlformats.org/officeDocument/2006/relationships/hyperlink" Target="https://projectcatalyst.io/funds/14/cardano-open-developers/modeltrust-decentralized-ai-model-verification-framework" TargetMode="External"/><Relationship Id="rId133" Type="http://schemas.openxmlformats.org/officeDocument/2006/relationships/hyperlink" Target="https://projectcatalyst.io/funds/14/cardano-open-developers/wolfram-cardano-mcp-server-smart-contracts-and-catalyst" TargetMode="External"/><Relationship Id="rId254" Type="http://schemas.openxmlformats.org/officeDocument/2006/relationships/hyperlink" Target="https://projectcatalyst.io/funds/14/cardano-open-developers/opshin-playground-online-ide-for-opshin" TargetMode="External"/><Relationship Id="rId172" Type="http://schemas.openxmlformats.org/officeDocument/2006/relationships/hyperlink" Target="https://projectcatalyst.io/funds/14/cardano-open-developers/cexplorer-public-native-asset-img-thumbnail-server" TargetMode="External"/><Relationship Id="rId171" Type="http://schemas.openxmlformats.org/officeDocument/2006/relationships/hyperlink" Target="https://projectcatalyst.io/funds/14/cardano-open-developers/shopify-token-gated-commerce-plugin" TargetMode="External"/><Relationship Id="rId170" Type="http://schemas.openxmlformats.org/officeDocument/2006/relationships/hyperlink" Target="https://projectcatalyst.io/funds/14/cardano-open-developers/coxylibjs-simplifying-cardano-dapp-development" TargetMode="External"/><Relationship Id="rId165" Type="http://schemas.openxmlformats.org/officeDocument/2006/relationships/hyperlink" Target="https://projectcatalyst.io/funds/14/cardano-open-developers/gamechanger-instant-dapp-build-for-any-device-fast" TargetMode="External"/><Relationship Id="rId164" Type="http://schemas.openxmlformats.org/officeDocument/2006/relationships/hyperlink" Target="https://projectcatalyst.io/funds/14/cardano-open-developers/cardano-sdk-for-mobile-dapp-development" TargetMode="External"/><Relationship Id="rId163" Type="http://schemas.openxmlformats.org/officeDocument/2006/relationships/hyperlink" Target="https://projectcatalyst.io/funds/14/cardano-open-developers/bbo-openmcp-cardano-enabling-ai-ready-onchain-data-access" TargetMode="External"/><Relationship Id="rId162" Type="http://schemas.openxmlformats.org/officeDocument/2006/relationships/hyperlink" Target="https://projectcatalyst.io/funds/14/cardano-open-developers/zeus-ai-sdk-supercharging-devs-on-cardano" TargetMode="External"/><Relationship Id="rId169" Type="http://schemas.openxmlformats.org/officeDocument/2006/relationships/hyperlink" Target="https://projectcatalyst.io/funds/14/cardano-open-developers/drep-governance-console" TargetMode="External"/><Relationship Id="rId168" Type="http://schemas.openxmlformats.org/officeDocument/2006/relationships/hyperlink" Target="https://projectcatalyst.io/funds/14/cardano-open-developers/onboarding-to-web3-modular-applications-for-web2-builders" TargetMode="External"/><Relationship Id="rId167" Type="http://schemas.openxmlformats.org/officeDocument/2006/relationships/hyperlink" Target="https://projectcatalyst.io/funds/14/cardano-open-developers/midnight-privacy-vote-base-research" TargetMode="External"/><Relationship Id="rId166" Type="http://schemas.openxmlformats.org/officeDocument/2006/relationships/hyperlink" Target="https://projectcatalyst.io/funds/14/cardano-open-developers/advanced-cardano-smart-contract-analytics-and-dashboard" TargetMode="External"/><Relationship Id="rId161" Type="http://schemas.openxmlformats.org/officeDocument/2006/relationships/hyperlink" Target="https://projectcatalyst.io/funds/14/cardano-open-developers/plutus-playground-templates-library" TargetMode="External"/><Relationship Id="rId160" Type="http://schemas.openxmlformats.org/officeDocument/2006/relationships/hyperlink" Target="https://projectcatalyst.io/funds/14/cardano-open-developers/ai-powered-privacy-and-compliance-testing-for-midnight" TargetMode="External"/><Relationship Id="rId159" Type="http://schemas.openxmlformats.org/officeDocument/2006/relationships/hyperlink" Target="https://projectcatalyst.io/funds/14/cardano-open-developers/shutter-api-encryption-as-a-service-for-cardano-defi-poc" TargetMode="External"/><Relationship Id="rId154" Type="http://schemas.openxmlformats.org/officeDocument/2006/relationships/hyperlink" Target="https://projectcatalyst.io/funds/14/cardano-open-developers/smartcontract-ai-boosting-plutus-and-marlowe-developers-power" TargetMode="External"/><Relationship Id="rId153" Type="http://schemas.openxmlformats.org/officeDocument/2006/relationships/hyperlink" Target="https://projectcatalyst.io/funds/14/cardano-open-developers/net-identus-sdk" TargetMode="External"/><Relationship Id="rId152" Type="http://schemas.openxmlformats.org/officeDocument/2006/relationships/hyperlink" Target="https://projectcatalyst.io/funds/14/cardano-open-developers/orthogonal-persistence-for-dapps-on-cardano-by-sky-protocol" TargetMode="External"/><Relationship Id="rId151" Type="http://schemas.openxmlformats.org/officeDocument/2006/relationships/hyperlink" Target="https://projectcatalyst.io/funds/14/cardano-open-developers/decentralized-stablecoin-protocol-on-midnight" TargetMode="External"/><Relationship Id="rId158" Type="http://schemas.openxmlformats.org/officeDocument/2006/relationships/hyperlink" Target="https://projectcatalyst.io/funds/14/cardano-open-developers/spidex-ai-copilot-for-cardano-defi-and-sdk-for-builders" TargetMode="External"/><Relationship Id="rId157" Type="http://schemas.openxmlformats.org/officeDocument/2006/relationships/hyperlink" Target="https://projectcatalyst.io/funds/14/cardano-open-developers/community-owned-zero-knowledge-governance-l2-token-economy" TargetMode="External"/><Relationship Id="rId156" Type="http://schemas.openxmlformats.org/officeDocument/2006/relationships/hyperlink" Target="https://projectcatalyst.io/funds/14/cardano-open-developers/cardano-smart-contract-visual-debugger-c-scvd" TargetMode="External"/><Relationship Id="rId155" Type="http://schemas.openxmlformats.org/officeDocument/2006/relationships/hyperlink" Target="https://projectcatalyst.io/funds/14/cardano-open-developers/texstream-real-time-multi-dex-price-and-pool-data" TargetMode="External"/><Relationship Id="rId40" Type="http://schemas.openxmlformats.org/officeDocument/2006/relationships/hyperlink" Target="https://projectcatalyst.io/funds/14/cardano-open-developers/sap-cardano-odata-v4-api-with-cap-and-sap-cardano-sdk" TargetMode="External"/><Relationship Id="rId42" Type="http://schemas.openxmlformats.org/officeDocument/2006/relationships/hyperlink" Target="https://projectcatalyst.io/funds/14/cardano-open-developers/saib-chrysalisplutuscore-parser-and-cek-engine-for-net" TargetMode="External"/><Relationship Id="rId41" Type="http://schemas.openxmlformats.org/officeDocument/2006/relationships/hyperlink" Target="https://projectcatalyst.io/funds/14/cardano-open-developers/deploy-faster-on-cardano-open-source-off-chain-engine" TargetMode="External"/><Relationship Id="rId44" Type="http://schemas.openxmlformats.org/officeDocument/2006/relationships/hyperlink" Target="https://projectcatalyst.io/funds/14/cardano-open-developers/multi-chain-wallet-sdk-for-cardano-interoperability" TargetMode="External"/><Relationship Id="rId43" Type="http://schemas.openxmlformats.org/officeDocument/2006/relationships/hyperlink" Target="https://projectcatalyst.io/funds/14/cardano-open-developers/sidan-vodka-complete-aiken-dev-utils-and-testing-framework" TargetMode="External"/><Relationship Id="rId46" Type="http://schemas.openxmlformats.org/officeDocument/2006/relationships/hyperlink" Target="https://projectcatalyst.io/funds/14/cardano-open-developers/k3-labs-and-waffle-capital-or-defi-agents-on-cardano" TargetMode="External"/><Relationship Id="rId45" Type="http://schemas.openxmlformats.org/officeDocument/2006/relationships/hyperlink" Target="https://projectcatalyst.io/funds/14/cardano-open-developers/prime-wallet-mass-voting-and-multi-wallet-actions" TargetMode="External"/><Relationship Id="rId48" Type="http://schemas.openxmlformats.org/officeDocument/2006/relationships/hyperlink" Target="https://projectcatalyst.io/funds/14/cardano-open-developers/anvil-weld-massive-updates-and-seamless-cardano-for-dapps" TargetMode="External"/><Relationship Id="rId47" Type="http://schemas.openxmlformats.org/officeDocument/2006/relationships/hyperlink" Target="https://projectcatalyst.io/funds/14/cardano-open-developers/improving-cardano-ux-transparent-block-production-schedule" TargetMode="External"/><Relationship Id="rId49" Type="http://schemas.openxmlformats.org/officeDocument/2006/relationships/hyperlink" Target="https://projectcatalyst.io/funds/14/cardano-open-developers/cometacpp-cardano-sdk-for-c-with-full-conway-era-support" TargetMode="External"/><Relationship Id="rId31" Type="http://schemas.openxmlformats.org/officeDocument/2006/relationships/hyperlink" Target="https://projectcatalyst.io/funds/14/cardano-open-developers/one-launchpad-for-all-dexes-deploy-tokens-on-cardano" TargetMode="External"/><Relationship Id="rId30" Type="http://schemas.openxmlformats.org/officeDocument/2006/relationships/hyperlink" Target="https://projectcatalyst.io/funds/14/cardano-open-developers/by-txpipe-white-label-e-commerce-platform-on-cardano" TargetMode="External"/><Relationship Id="rId33" Type="http://schemas.openxmlformats.org/officeDocument/2006/relationships/hyperlink" Target="https://projectcatalyst.io/funds/14/cardano-open-developers/hydrozoa-l2-pilot-ready-modern-interfaces" TargetMode="External"/><Relationship Id="rId32" Type="http://schemas.openxmlformats.org/officeDocument/2006/relationships/hyperlink" Target="https://projectcatalyst.io/funds/14/cardano-open-developers/by-txpipe-shipping-oracle-to-unlock-cardano-e-commerce" TargetMode="External"/><Relationship Id="rId35" Type="http://schemas.openxmlformats.org/officeDocument/2006/relationships/hyperlink" Target="https://projectcatalyst.io/funds/14/cardano-open-developers/rapid-dex-mainnet-ready-batcher-free-and-advanced-features" TargetMode="External"/><Relationship Id="rId34" Type="http://schemas.openxmlformats.org/officeDocument/2006/relationships/hyperlink" Target="https://projectcatalyst.io/funds/14/cardano-open-developers/nunet-cardano-supported-ssidid-for-depin-orchestration" TargetMode="External"/><Relationship Id="rId37" Type="http://schemas.openxmlformats.org/officeDocument/2006/relationships/hyperlink" Target="https://projectcatalyst.io/funds/14/cardano-open-developers/sidan-cardano-bar-aiken-blueprint-parser-for-vscode" TargetMode="External"/><Relationship Id="rId36" Type="http://schemas.openxmlformats.org/officeDocument/2006/relationships/hyperlink" Target="https://projectcatalyst.io/funds/14/cardano-open-developers/cexplorer-mini-cardano-explorer-for-not-only-local-usage" TargetMode="External"/><Relationship Id="rId39" Type="http://schemas.openxmlformats.org/officeDocument/2006/relationships/hyperlink" Target="https://projectcatalyst.io/funds/14/cardano-open-developers/no-witness-hydra-manager" TargetMode="External"/><Relationship Id="rId38" Type="http://schemas.openxmlformats.org/officeDocument/2006/relationships/hyperlink" Target="https://projectcatalyst.io/funds/14/cardano-open-developers/datum-explorer-advanced-cbor-tools-and-interactive-features" TargetMode="External"/><Relationship Id="rId20" Type="http://schemas.openxmlformats.org/officeDocument/2006/relationships/hyperlink" Target="https://projectcatalyst.io/funds/14/cardano-open-developers/hydra-powered-micro-paas" TargetMode="External"/><Relationship Id="rId22" Type="http://schemas.openxmlformats.org/officeDocument/2006/relationships/hyperlink" Target="https://projectcatalyst.io/funds/14/cardano-open-developers/hydra-hexcore-tool-for-deployment-multi-hydra-party" TargetMode="External"/><Relationship Id="rId21" Type="http://schemas.openxmlformats.org/officeDocument/2006/relationships/hyperlink" Target="https://projectcatalyst.io/funds/14/cardano-open-developers/cardanoscan-api-sdk-python" TargetMode="External"/><Relationship Id="rId24" Type="http://schemas.openxmlformats.org/officeDocument/2006/relationships/hyperlink" Target="https://projectcatalyst.io/funds/14/cardano-open-developers/hydrozoa-l2-new-randd-and-cool-features" TargetMode="External"/><Relationship Id="rId23" Type="http://schemas.openxmlformats.org/officeDocument/2006/relationships/hyperlink" Target="https://projectcatalyst.io/funds/14/cardano-open-developers/sidan-whisky-v2-cardano-rust-sdk-with-pallas" TargetMode="External"/><Relationship Id="rId26" Type="http://schemas.openxmlformats.org/officeDocument/2006/relationships/hyperlink" Target="https://projectcatalyst.io/funds/14/cardano-open-developers/hydra-wall-street-library-integrate-with-real-world-finance" TargetMode="External"/><Relationship Id="rId25" Type="http://schemas.openxmlformats.org/officeDocument/2006/relationships/hyperlink" Target="https://projectcatalyst.io/funds/14/cardano-open-developers/openmm-cardanos-universal-market-making-toolkit" TargetMode="External"/><Relationship Id="rId28" Type="http://schemas.openxmlformats.org/officeDocument/2006/relationships/hyperlink" Target="https://projectcatalyst.io/funds/14/cardano-open-developers/hydra-point-of-sale-accept-ada-cnts-in-retail-and-invoicing" TargetMode="External"/><Relationship Id="rId27" Type="http://schemas.openxmlformats.org/officeDocument/2006/relationships/hyperlink" Target="https://projectcatalyst.io/funds/14/cardano-open-developers/by-txpipe-early-aiken-vulnerability-detection-using-ai" TargetMode="External"/><Relationship Id="rId29" Type="http://schemas.openxmlformats.org/officeDocument/2006/relationships/hyperlink" Target="https://projectcatalyst.io/funds/14/cardano-open-developers/by-txpipe-monitoring-dashboards-tailored-for-your-dapp" TargetMode="External"/><Relationship Id="rId11" Type="http://schemas.openxmlformats.org/officeDocument/2006/relationships/hyperlink" Target="https://projectcatalyst.io/funds/14/cardano-open-developers/hydrozoa-l2-pilot-ready-reliability-and-performance" TargetMode="External"/><Relationship Id="rId10" Type="http://schemas.openxmlformats.org/officeDocument/2006/relationships/hyperlink" Target="https://projectcatalyst.io/funds/14/cardano-open-developers/hydra-mobile-sdk-for-android-and-ios" TargetMode="External"/><Relationship Id="rId13" Type="http://schemas.openxmlformats.org/officeDocument/2006/relationships/hyperlink" Target="https://projectcatalyst.io/funds/14/cardano-open-developers/zk-stables-usdcusdt-non-custodial-bridge" TargetMode="External"/><Relationship Id="rId12" Type="http://schemas.openxmlformats.org/officeDocument/2006/relationships/hyperlink" Target="https://projectcatalyst.io/funds/14/cardano-open-developers/extend-pallas-adding-to-cardanos-core-components-in-rust" TargetMode="External"/><Relationship Id="rId15" Type="http://schemas.openxmlformats.org/officeDocument/2006/relationships/hyperlink" Target="https://projectcatalyst.io/funds/14/cardano-open-developers/open-djed-maintenance-development-and-infrastructure" TargetMode="External"/><Relationship Id="rId14" Type="http://schemas.openxmlformats.org/officeDocument/2006/relationships/hyperlink" Target="https://projectcatalyst.io/funds/14/cardano-open-developers/by-txpipe-api-layer-for-cardano-protocols-using-tx3" TargetMode="External"/><Relationship Id="rId17" Type="http://schemas.openxmlformats.org/officeDocument/2006/relationships/hyperlink" Target="https://projectcatalyst.io/funds/14/cardano-open-developers/hydra-sdk-fast-modular-wasm-cardano-toolkit" TargetMode="External"/><Relationship Id="rId16" Type="http://schemas.openxmlformats.org/officeDocument/2006/relationships/hyperlink" Target="https://projectcatalyst.io/funds/14/cardano-open-developers/mesh-cross-chain-production-ready-wallet-sdk" TargetMode="External"/><Relationship Id="rId19" Type="http://schemas.openxmlformats.org/officeDocument/2006/relationships/hyperlink" Target="https://projectcatalyst.io/funds/14/cardano-open-developers/midnightzk-off-ramp-sdk-adaweb2-payments-cash-app-wise" TargetMode="External"/><Relationship Id="rId18" Type="http://schemas.openxmlformats.org/officeDocument/2006/relationships/hyperlink" Target="https://projectcatalyst.io/funds/14/cardano-open-developers/plutus-debugger-vscode-plugin" TargetMode="External"/><Relationship Id="rId84" Type="http://schemas.openxmlformats.org/officeDocument/2006/relationships/hyperlink" Target="https://projectcatalyst.io/funds/14/cardano-open-developers/anvil-scale-the-chain-universal-merkle-bridge-poc-for-l2s" TargetMode="External"/><Relationship Id="rId83" Type="http://schemas.openxmlformats.org/officeDocument/2006/relationships/hyperlink" Target="https://projectcatalyst.io/funds/14/cardano-open-developers/zk-p2p-lending-with-midnight-zkps-private-loans-cardano-lib" TargetMode="External"/><Relationship Id="rId86" Type="http://schemas.openxmlformats.org/officeDocument/2006/relationships/hyperlink" Target="https://projectcatalyst.io/funds/14/cardano-open-developers/shopify-ada-payments-native-assets-in-e-commerce-stores" TargetMode="External"/><Relationship Id="rId85" Type="http://schemas.openxmlformats.org/officeDocument/2006/relationships/hyperlink" Target="https://projectcatalyst.io/funds/14/cardano-open-developers/andamio-auth-t3-app-template-with-cardano-token-based-login" TargetMode="External"/><Relationship Id="rId88" Type="http://schemas.openxmlformats.org/officeDocument/2006/relationships/hyperlink" Target="https://projectcatalyst.io/funds/14/cardano-open-developers/saib-chrysaliscbor-nets-cbor-deserialization-engine" TargetMode="External"/><Relationship Id="rId87" Type="http://schemas.openxmlformats.org/officeDocument/2006/relationships/hyperlink" Target="https://projectcatalyst.io/funds/14/cardano-open-developers/cardano-passkey" TargetMode="External"/><Relationship Id="rId89" Type="http://schemas.openxmlformats.org/officeDocument/2006/relationships/hyperlink" Target="https://projectcatalyst.io/funds/14/cardano-open-developers/cots-cli-cardano-offline-transaction-simulator" TargetMode="External"/><Relationship Id="rId80" Type="http://schemas.openxmlformats.org/officeDocument/2006/relationships/hyperlink" Target="https://projectcatalyst.io/funds/14/cardano-open-developers/cardapay-seamless-payments-powered-by-cardano" TargetMode="External"/><Relationship Id="rId82" Type="http://schemas.openxmlformats.org/officeDocument/2006/relationships/hyperlink" Target="https://projectcatalyst.io/funds/14/cardano-open-developers/saib-chrysalisplutusbuiltins-core-runtime-operations" TargetMode="External"/><Relationship Id="rId81" Type="http://schemas.openxmlformats.org/officeDocument/2006/relationships/hyperlink" Target="https://projectcatalyst.io/funds/14/cardano-open-developers/aiken-jetbrains-extension" TargetMode="External"/><Relationship Id="rId73" Type="http://schemas.openxmlformats.org/officeDocument/2006/relationships/hyperlink" Target="https://projectcatalyst.io/funds/14/cardano-open-developers/saib-chrysalistx-advanced-transaction-building-for-net" TargetMode="External"/><Relationship Id="rId72" Type="http://schemas.openxmlformats.org/officeDocument/2006/relationships/hyperlink" Target="https://projectcatalyst.io/funds/14/cardano-open-developers/cardano-partnerchain-migrator-solana-pe-and-avalanche-subnet" TargetMode="External"/><Relationship Id="rId75" Type="http://schemas.openxmlformats.org/officeDocument/2006/relationships/hyperlink" Target="https://projectcatalyst.io/funds/14/cardano-open-developers/mesh-privacy-enabled-smart-contracts-and-ui-for-midnight" TargetMode="External"/><Relationship Id="rId74" Type="http://schemas.openxmlformats.org/officeDocument/2006/relationships/hyperlink" Target="https://projectcatalyst.io/funds/14/cardano-open-developers/mlabs-path-analysis-on-covenant" TargetMode="External"/><Relationship Id="rId77" Type="http://schemas.openxmlformats.org/officeDocument/2006/relationships/hyperlink" Target="https://projectcatalyst.io/funds/14/cardano-open-developers/no-witness-ghost-codec-the-hardhat-of-cardano" TargetMode="External"/><Relationship Id="rId76" Type="http://schemas.openxmlformats.org/officeDocument/2006/relationships/hyperlink" Target="https://projectcatalyst.io/funds/14/cardano-open-developers/cross-platform-sdk-a-unified-cardano-development-kit" TargetMode="External"/><Relationship Id="rId79" Type="http://schemas.openxmlformats.org/officeDocument/2006/relationships/hyperlink" Target="https://projectcatalyst.io/funds/14/cardano-open-developers/vdic-cardano-verifiable-ipfs-clusters-for-cardano" TargetMode="External"/><Relationship Id="rId78" Type="http://schemas.openxmlformats.org/officeDocument/2006/relationships/hyperlink" Target="https://projectcatalyst.io/funds/14/cardano-open-developers/no-witness-cardano-mcp-model-context-protocol" TargetMode="External"/><Relationship Id="rId71" Type="http://schemas.openxmlformats.org/officeDocument/2006/relationships/hyperlink" Target="https://projectcatalyst.io/funds/14/cardano-open-developers/high-performance-cardano-dex-indexer-rust-grpc" TargetMode="External"/><Relationship Id="rId70" Type="http://schemas.openxmlformats.org/officeDocument/2006/relationships/hyperlink" Target="https://projectcatalyst.io/funds/14/cardano-open-developers/plutus-cheatsheet-generator" TargetMode="External"/><Relationship Id="rId62" Type="http://schemas.openxmlformats.org/officeDocument/2006/relationships/hyperlink" Target="https://projectcatalyst.io/funds/14/cardano-open-developers/saib-chrysalisplutussdk-developer-tools-and-integration" TargetMode="External"/><Relationship Id="rId61" Type="http://schemas.openxmlformats.org/officeDocument/2006/relationships/hyperlink" Target="https://projectcatalyst.io/funds/14/cardano-open-developers/elixir-client-for-ouroboros-networking-protocol" TargetMode="External"/><Relationship Id="rId64" Type="http://schemas.openxmlformats.org/officeDocument/2006/relationships/hyperlink" Target="https://projectcatalyst.io/funds/14/cardano-open-developers/aiken-integration-on-intellij-eryx" TargetMode="External"/><Relationship Id="rId63" Type="http://schemas.openxmlformats.org/officeDocument/2006/relationships/hyperlink" Target="https://projectcatalyst.io/funds/14/cardano-open-developers/hydra-enabled-on-chain-chatgpt-for-secure-and-high-speed-ai" TargetMode="External"/><Relationship Id="rId66" Type="http://schemas.openxmlformats.org/officeDocument/2006/relationships/hyperlink" Target="https://projectcatalyst.io/funds/14/cardano-open-developers/anvil-csllite-modular-cardano-serialization-toolkit" TargetMode="External"/><Relationship Id="rId65" Type="http://schemas.openxmlformats.org/officeDocument/2006/relationships/hyperlink" Target="https://projectcatalyst.io/funds/14/cardano-open-developers/multi-source-oracle-aggregation" TargetMode="External"/><Relationship Id="rId68" Type="http://schemas.openxmlformats.org/officeDocument/2006/relationships/hyperlink" Target="https://projectcatalyst.io/funds/14/cardano-open-developers/no-witness-common-vulnerabilities-patterns" TargetMode="External"/><Relationship Id="rId67" Type="http://schemas.openxmlformats.org/officeDocument/2006/relationships/hyperlink" Target="https://projectcatalyst.io/funds/14/cardano-open-developers/cometaphp-cardano-sdk-for-php-with-full-conway-era-support" TargetMode="External"/><Relationship Id="rId60" Type="http://schemas.openxmlformats.org/officeDocument/2006/relationships/hyperlink" Target="https://projectcatalyst.io/funds/14/cardano-open-developers/yubikey-cardano-wallet" TargetMode="External"/><Relationship Id="rId69" Type="http://schemas.openxmlformats.org/officeDocument/2006/relationships/hyperlink" Target="https://projectcatalyst.io/funds/14/cardano-open-developers/atlas-pab-native-bitcoin-btc-integration-layer" TargetMode="External"/><Relationship Id="rId51" Type="http://schemas.openxmlformats.org/officeDocument/2006/relationships/hyperlink" Target="https://projectcatalyst.io/funds/14/cardano-open-developers/implement-plonk-in-aiken-zk-eryx" TargetMode="External"/><Relationship Id="rId50" Type="http://schemas.openxmlformats.org/officeDocument/2006/relationships/hyperlink" Target="https://projectcatalyst.io/funds/14/cardano-open-developers/cardano-component-ui-library-by-lido-nation" TargetMode="External"/><Relationship Id="rId53" Type="http://schemas.openxmlformats.org/officeDocument/2006/relationships/hyperlink" Target="https://projectcatalyst.io/funds/14/cardano-open-developers/no-witness-macs-coin-selection-algorithm-for-evolution-skd" TargetMode="External"/><Relationship Id="rId52" Type="http://schemas.openxmlformats.org/officeDocument/2006/relationships/hyperlink" Target="https://projectcatalyst.io/funds/14/cardano-open-developers/hydra-enterprise-os-onboarding-institutions-with-low-code" TargetMode="External"/><Relationship Id="rId55" Type="http://schemas.openxmlformats.org/officeDocument/2006/relationships/hyperlink" Target="https://projectcatalyst.io/funds/14/cardano-open-developers/bind-friendly-c-library-for-ledger-hw-cardano-app" TargetMode="External"/><Relationship Id="rId54" Type="http://schemas.openxmlformats.org/officeDocument/2006/relationships/hyperlink" Target="https://projectcatalyst.io/funds/14/cardano-open-developers/mlabs-ctl-javascript-typescript-interface" TargetMode="External"/><Relationship Id="rId57" Type="http://schemas.openxmlformats.org/officeDocument/2006/relationships/hyperlink" Target="https://projectcatalyst.io/funds/14/cardano-open-developers/cardanoscan-for-ai-agents-open-source-mcp-server" TargetMode="External"/><Relationship Id="rId56" Type="http://schemas.openxmlformats.org/officeDocument/2006/relationships/hyperlink" Target="https://projectcatalyst.io/funds/14/cardano-open-developers/saib-chrysalisnetwork-ouroboros-protocols-for-net" TargetMode="External"/><Relationship Id="rId59" Type="http://schemas.openxmlformats.org/officeDocument/2006/relationships/hyperlink" Target="https://projectcatalyst.io/funds/14/cardano-open-developers/evolution-1-of-cardano-native-token-price-indexer-in-kotlin" TargetMode="External"/><Relationship Id="rId58" Type="http://schemas.openxmlformats.org/officeDocument/2006/relationships/hyperlink" Target="https://projectcatalyst.io/funds/14/cardano-open-developers/no-witness-firehose-and-substreams-integration-for-cardano" TargetMode="External"/><Relationship Id="rId107" Type="http://schemas.openxmlformats.org/officeDocument/2006/relationships/hyperlink" Target="https://projectcatalyst.io/funds/14/cardano-open-developers/genesis-open-source-multi-sig-wallet" TargetMode="External"/><Relationship Id="rId228" Type="http://schemas.openxmlformats.org/officeDocument/2006/relationships/hyperlink" Target="https://projectcatalyst.io/funds/14/cardano-open-developers/exura-transaction-intelligence-api-gamechanger-integration" TargetMode="External"/><Relationship Id="rId106" Type="http://schemas.openxmlformats.org/officeDocument/2006/relationships/hyperlink" Target="https://projectcatalyst.io/funds/14/cardano-open-developers/p2e-ada-open-source-framework-for-game-devs" TargetMode="External"/><Relationship Id="rId227" Type="http://schemas.openxmlformats.org/officeDocument/2006/relationships/hyperlink" Target="https://projectcatalyst.io/funds/14/cardano-open-developers/crowdsourcing-ai-powered-transaction-tagging-on-cardano" TargetMode="External"/><Relationship Id="rId105" Type="http://schemas.openxmlformats.org/officeDocument/2006/relationships/hyperlink" Target="https://projectcatalyst.io/funds/14/cardano-open-developers/unified-open-analytics-for-cardano-defi" TargetMode="External"/><Relationship Id="rId226" Type="http://schemas.openxmlformats.org/officeDocument/2006/relationships/hyperlink" Target="https://projectcatalyst.io/funds/14/cardano-open-developers/adaquarium" TargetMode="External"/><Relationship Id="rId104" Type="http://schemas.openxmlformats.org/officeDocument/2006/relationships/hyperlink" Target="https://projectcatalyst.io/funds/14/cardano-open-developers/dandelion-new-cardanographqlblockfrostyaci-over-graphql" TargetMode="External"/><Relationship Id="rId225" Type="http://schemas.openxmlformats.org/officeDocument/2006/relationships/hyperlink" Target="https://projectcatalyst.io/funds/14/cardano-open-developers/sutra-plutus-blueprint-integration-and-testing-framework" TargetMode="External"/><Relationship Id="rId109" Type="http://schemas.openxmlformats.org/officeDocument/2006/relationships/hyperlink" Target="https://projectcatalyst.io/funds/14/cardano-open-developers/adder-realtime-governance-and-mempool-tracking-by-blink-labs" TargetMode="External"/><Relationship Id="rId108" Type="http://schemas.openxmlformats.org/officeDocument/2006/relationships/hyperlink" Target="https://projectcatalyst.io/funds/14/cardano-open-developers/cardano-ai-wallet-alerts-for-instant-blockchain-events" TargetMode="External"/><Relationship Id="rId229" Type="http://schemas.openxmlformats.org/officeDocument/2006/relationships/hyperlink" Target="https://projectcatalyst.io/funds/14/cardano-open-developers/agentic-dapp-testing-sdk-by-dquadrant" TargetMode="External"/><Relationship Id="rId220" Type="http://schemas.openxmlformats.org/officeDocument/2006/relationships/hyperlink" Target="https://projectcatalyst.io/funds/14/cardano-open-developers/cardano-social-graph-sdk" TargetMode="External"/><Relationship Id="rId103" Type="http://schemas.openxmlformats.org/officeDocument/2006/relationships/hyperlink" Target="https://projectcatalyst.io/funds/14/cardano-open-developers/ada-payment-gateway-phase-2-wordpress-and-woocommerce-integ" TargetMode="External"/><Relationship Id="rId224" Type="http://schemas.openxmlformats.org/officeDocument/2006/relationships/hyperlink" Target="https://projectcatalyst.io/funds/14/cardano-open-developers/cardano-twitch-integration-suite" TargetMode="External"/><Relationship Id="rId102" Type="http://schemas.openxmlformats.org/officeDocument/2006/relationships/hyperlink" Target="https://projectcatalyst.io/funds/14/cardano-open-developers/cardano-dex-programming-toolkit-os-mmarb-building-blocks" TargetMode="External"/><Relationship Id="rId223" Type="http://schemas.openxmlformats.org/officeDocument/2006/relationships/hyperlink" Target="https://projectcatalyst.io/funds/14/cardano-open-developers/rate-my-proposal-ai-tool" TargetMode="External"/><Relationship Id="rId101" Type="http://schemas.openxmlformats.org/officeDocument/2006/relationships/hyperlink" Target="https://projectcatalyst.io/funds/14/cardano-open-developers/cardano-postman" TargetMode="External"/><Relationship Id="rId222" Type="http://schemas.openxmlformats.org/officeDocument/2006/relationships/hyperlink" Target="https://projectcatalyst.io/funds/14/cardano-open-developers/privacy-aware-dao-voting-and-treasury-management" TargetMode="External"/><Relationship Id="rId100" Type="http://schemas.openxmlformats.org/officeDocument/2006/relationships/hyperlink" Target="https://projectcatalyst.io/funds/14/cardano-open-developers/fast-and-reliable-public-access-to-cardano-apis" TargetMode="External"/><Relationship Id="rId221" Type="http://schemas.openxmlformats.org/officeDocument/2006/relationships/hyperlink" Target="https://projectcatalyst.io/funds/14/cardano-open-developers/sutra-elixir-sdk-for-cardano" TargetMode="External"/><Relationship Id="rId217" Type="http://schemas.openxmlformats.org/officeDocument/2006/relationships/hyperlink" Target="https://projectcatalyst.io/funds/14/cardano-open-developers/cardlings-cli-based-excercises-to-master-cardano" TargetMode="External"/><Relationship Id="rId216" Type="http://schemas.openxmlformats.org/officeDocument/2006/relationships/hyperlink" Target="https://projectcatalyst.io/funds/14/cardano-open-developers/mcp-for-ai-cardano-explorer-assistants-eryx" TargetMode="External"/><Relationship Id="rId215" Type="http://schemas.openxmlformats.org/officeDocument/2006/relationships/hyperlink" Target="https://projectcatalyst.io/funds/14/cardano-open-developers/protofire-developer-studio-v2" TargetMode="External"/><Relationship Id="rId214" Type="http://schemas.openxmlformats.org/officeDocument/2006/relationships/hyperlink" Target="https://projectcatalyst.io/funds/14/cardano-open-developers/permanent-trustless-public-good-archive-of-cardano-data" TargetMode="External"/><Relationship Id="rId219" Type="http://schemas.openxmlformats.org/officeDocument/2006/relationships/hyperlink" Target="https://projectcatalyst.io/funds/14/cardano-open-developers/cardano-explorer-mcpmodel-context-protocol-server" TargetMode="External"/><Relationship Id="rId218" Type="http://schemas.openxmlformats.org/officeDocument/2006/relationships/hyperlink" Target="https://projectcatalyst.io/funds/14/cardano-open-developers/project-insight-assessing-trust-in-cardano-projects" TargetMode="External"/><Relationship Id="rId213" Type="http://schemas.openxmlformats.org/officeDocument/2006/relationships/hyperlink" Target="https://projectcatalyst.io/funds/14/cardano-open-developers/ai-tools-for-aiken-smart-contract-generation-and-analysis" TargetMode="External"/><Relationship Id="rId212" Type="http://schemas.openxmlformats.org/officeDocument/2006/relationships/hyperlink" Target="https://projectcatalyst.io/funds/14/cardano-open-developers/trusttx-ai-sdk-simplify-cardano-tx-signing-to-avoid-scams" TargetMode="External"/><Relationship Id="rId211" Type="http://schemas.openxmlformats.org/officeDocument/2006/relationships/hyperlink" Target="https://projectcatalyst.io/funds/14/cardano-open-developers/cardano-ai-agent-bridge" TargetMode="External"/><Relationship Id="rId210" Type="http://schemas.openxmlformats.org/officeDocument/2006/relationships/hyperlink" Target="https://projectcatalyst.io/funds/14/cardano-open-developers/cardano-wallet-connect-component-for-angular" TargetMode="External"/><Relationship Id="rId129" Type="http://schemas.openxmlformats.org/officeDocument/2006/relationships/hyperlink" Target="https://projectcatalyst.io/funds/14/cardano-open-developers/next-gen-ai-and-blockchain-sdk-for-mobile-app-developers" TargetMode="External"/><Relationship Id="rId128" Type="http://schemas.openxmlformats.org/officeDocument/2006/relationships/hyperlink" Target="https://projectcatalyst.io/funds/14/cardano-open-developers/cardanogpt-ai-powered-prompt-to-smart-contract-generator" TargetMode="External"/><Relationship Id="rId249" Type="http://schemas.openxmlformats.org/officeDocument/2006/relationships/hyperlink" Target="https://projectcatalyst.io/funds/14/cardano-open-developers/a-declarative-operations-framework-for-cardano-spos" TargetMode="External"/><Relationship Id="rId127" Type="http://schemas.openxmlformats.org/officeDocument/2006/relationships/hyperlink" Target="https://projectcatalyst.io/funds/14/cardano-open-developers/cardano-dev-mcp-mcp-for-devs-of-cardano" TargetMode="External"/><Relationship Id="rId248" Type="http://schemas.openxmlformats.org/officeDocument/2006/relationships/hyperlink" Target="https://projectcatalyst.io/funds/14/cardano-open-developers/plutus-compiler-and-playground-for-vibe-coders" TargetMode="External"/><Relationship Id="rId126" Type="http://schemas.openxmlformats.org/officeDocument/2006/relationships/hyperlink" Target="https://projectcatalyst.io/funds/14/cardano-open-developers/utxo-timeline-graph-visual-time-travel-debugging-for-devs" TargetMode="External"/><Relationship Id="rId247" Type="http://schemas.openxmlformats.org/officeDocument/2006/relationships/hyperlink" Target="https://projectcatalyst.io/funds/14/cardano-open-developers/cardano-data-sync-for-ai-developers" TargetMode="External"/><Relationship Id="rId121" Type="http://schemas.openxmlformats.org/officeDocument/2006/relationships/hyperlink" Target="https://projectcatalyst.io/funds/14/cardano-open-developers/bankerlabs-x-yepple-cip-68-token-sdk-to-fuel-defi-and-depin" TargetMode="External"/><Relationship Id="rId242" Type="http://schemas.openxmlformats.org/officeDocument/2006/relationships/hyperlink" Target="https://projectcatalyst.io/funds/14/cardano-open-developers/devops-assistant-for-spos-autonomous-stake-pool-ops" TargetMode="External"/><Relationship Id="rId120" Type="http://schemas.openxmlformats.org/officeDocument/2006/relationships/hyperlink" Target="https://projectcatalyst.io/funds/14/cardano-open-developers/governancespace-all-in-one-governance-platform-enhancement" TargetMode="External"/><Relationship Id="rId241" Type="http://schemas.openxmlformats.org/officeDocument/2006/relationships/hyperlink" Target="https://projectcatalyst.io/funds/14/cardano-open-developers/open-regulation-mcp-server-for-cardano" TargetMode="External"/><Relationship Id="rId240" Type="http://schemas.openxmlformats.org/officeDocument/2006/relationships/hyperlink" Target="https://projectcatalyst.io/funds/14/cardano-open-developers/open-sourcing-reafino-smartstarter-smart-contracts" TargetMode="External"/><Relationship Id="rId125" Type="http://schemas.openxmlformats.org/officeDocument/2006/relationships/hyperlink" Target="https://projectcatalyst.io/funds/14/cardano-open-developers/aikenpilot-mcp" TargetMode="External"/><Relationship Id="rId246" Type="http://schemas.openxmlformats.org/officeDocument/2006/relationships/hyperlink" Target="https://projectcatalyst.io/funds/14/cardano-open-developers/token-engineering-modelling-and-simulating-economic-systems" TargetMode="External"/><Relationship Id="rId124" Type="http://schemas.openxmlformats.org/officeDocument/2006/relationships/hyperlink" Target="https://projectcatalyst.io/funds/14/cardano-open-developers/scaffold-cardano-aiken-development-toolkit" TargetMode="External"/><Relationship Id="rId245" Type="http://schemas.openxmlformats.org/officeDocument/2006/relationships/hyperlink" Target="https://projectcatalyst.io/funds/14/cardano-open-developers/opshin-vscode-extension" TargetMode="External"/><Relationship Id="rId123" Type="http://schemas.openxmlformats.org/officeDocument/2006/relationships/hyperlink" Target="https://projectcatalyst.io/funds/14/cardano-open-developers/cardano-iot-sdk-c-toolkit-for-iot-integration-on-cardano" TargetMode="External"/><Relationship Id="rId244" Type="http://schemas.openxmlformats.org/officeDocument/2006/relationships/hyperlink" Target="https://projectcatalyst.io/funds/14/cardano-open-developers/ai-enhanced-smart-contract-workshop" TargetMode="External"/><Relationship Id="rId122" Type="http://schemas.openxmlformats.org/officeDocument/2006/relationships/hyperlink" Target="https://projectcatalyst.io/funds/14/cardano-open-developers/visual-aiken-smart-contract-builder-no-code-platform" TargetMode="External"/><Relationship Id="rId243" Type="http://schemas.openxmlformats.org/officeDocument/2006/relationships/hyperlink" Target="https://projectcatalyst.io/funds/14/cardano-open-developers/cardano-explorer-sdk-for-developers" TargetMode="External"/><Relationship Id="rId95" Type="http://schemas.openxmlformats.org/officeDocument/2006/relationships/hyperlink" Target="https://projectcatalyst.io/funds/14/cardano-open-developers/unified-open-source-dao-analytics-for-cardano" TargetMode="External"/><Relationship Id="rId94" Type="http://schemas.openxmlformats.org/officeDocument/2006/relationships/hyperlink" Target="https://projectcatalyst.io/funds/14/cardano-open-developers/cexplorer-public-entity-db-and-mgmt-for-pooldrepasset" TargetMode="External"/><Relationship Id="rId97" Type="http://schemas.openxmlformats.org/officeDocument/2006/relationships/hyperlink" Target="https://projectcatalyst.io/funds/14/cardano-open-developers/ai-powered-smart-contract-auditing-tool-for-cardano" TargetMode="External"/><Relationship Id="rId96" Type="http://schemas.openxmlformats.org/officeDocument/2006/relationships/hyperlink" Target="https://projectcatalyst.io/funds/14/cardano-open-developers/koios-c-client-library" TargetMode="External"/><Relationship Id="rId99" Type="http://schemas.openxmlformats.org/officeDocument/2006/relationships/hyperlink" Target="https://projectcatalyst.io/funds/14/cardano-open-developers/cometarb-cardano-sdk-for-ruby-with-full-conway-era-support" TargetMode="External"/><Relationship Id="rId98" Type="http://schemas.openxmlformats.org/officeDocument/2006/relationships/hyperlink" Target="https://projectcatalyst.io/funds/14/cardano-open-developers/midnight-and-open-zeppelin-partnership-for-computation" TargetMode="External"/><Relationship Id="rId91" Type="http://schemas.openxmlformats.org/officeDocument/2006/relationships/hyperlink" Target="https://projectcatalyst.io/funds/14/cardano-open-developers/cexplorer-open-addon-system-for-metadata-and-scripts" TargetMode="External"/><Relationship Id="rId90" Type="http://schemas.openxmlformats.org/officeDocument/2006/relationships/hyperlink" Target="https://projectcatalyst.io/funds/14/cardano-open-developers/boost-developer-efficiency-cardano-midnight-dev-mcp-agent" TargetMode="External"/><Relationship Id="rId93" Type="http://schemas.openxmlformats.org/officeDocument/2006/relationships/hyperlink" Target="https://projectcatalyst.io/funds/14/cardano-open-developers/orcfax-live-feed-extension-latest-price-smart-contract" TargetMode="External"/><Relationship Id="rId92" Type="http://schemas.openxmlformats.org/officeDocument/2006/relationships/hyperlink" Target="https://projectcatalyst.io/funds/14/cardano-open-developers/cometalua-cardano-sdk-for-lua-with-full-conway-era-support" TargetMode="External"/><Relationship Id="rId118" Type="http://schemas.openxmlformats.org/officeDocument/2006/relationships/hyperlink" Target="https://projectcatalyst.io/funds/14/cardano-open-developers/unlocking-dual-rewards-with-ada-night" TargetMode="External"/><Relationship Id="rId239" Type="http://schemas.openxmlformats.org/officeDocument/2006/relationships/hyperlink" Target="https://projectcatalyst.io/funds/14/cardano-open-developers/trustpilot-for-dreps-on-chain-rating-and-reviews-framework" TargetMode="External"/><Relationship Id="rId117" Type="http://schemas.openxmlformats.org/officeDocument/2006/relationships/hyperlink" Target="https://projectcatalyst.io/funds/14/cardano-open-developers/bankerlabs-x-yepple-airdrop-solutions-api-and-sdk" TargetMode="External"/><Relationship Id="rId238" Type="http://schemas.openxmlformats.org/officeDocument/2006/relationships/hyperlink" Target="https://projectcatalyst.io/funds/14/cardano-open-developers/alertify-push-notifications-for-spos-traders-and-projects" TargetMode="External"/><Relationship Id="rId116" Type="http://schemas.openxmlformats.org/officeDocument/2006/relationships/hyperlink" Target="https://projectcatalyst.io/funds/14/cardano-open-developers/hlabs-buildooor-lessgreater-utxo-rpc" TargetMode="External"/><Relationship Id="rId237" Type="http://schemas.openxmlformats.org/officeDocument/2006/relationships/hyperlink" Target="https://projectcatalyst.io/funds/14/cardano-open-developers/fair-mineable-smart-contract-tokens" TargetMode="External"/><Relationship Id="rId115" Type="http://schemas.openxmlformats.org/officeDocument/2006/relationships/hyperlink" Target="https://projectcatalyst.io/funds/14/cardano-open-developers/evm-to-eutxo-contract-translator-toolkit" TargetMode="External"/><Relationship Id="rId236" Type="http://schemas.openxmlformats.org/officeDocument/2006/relationships/hyperlink" Target="https://projectcatalyst.io/funds/14/cardano-open-developers/5-templates-combining-ai-and-blockchain-on-cardano" TargetMode="External"/><Relationship Id="rId119" Type="http://schemas.openxmlformats.org/officeDocument/2006/relationships/hyperlink" Target="https://projectcatalyst.io/funds/14/cardano-open-developers/cardanoweb3js-enhancing-the-typescript-sdk-for-cardano" TargetMode="External"/><Relationship Id="rId110" Type="http://schemas.openxmlformats.org/officeDocument/2006/relationships/hyperlink" Target="https://projectcatalyst.io/funds/14/cardano-open-developers/cspo-cli-secure-simple-key-management-for-cardano-spos" TargetMode="External"/><Relationship Id="rId231" Type="http://schemas.openxmlformats.org/officeDocument/2006/relationships/hyperlink" Target="https://projectcatalyst.io/funds/14/cardano-open-developers/verifair-trustless-gaming-apps" TargetMode="External"/><Relationship Id="rId230" Type="http://schemas.openxmlformats.org/officeDocument/2006/relationships/hyperlink" Target="https://projectcatalyst.io/funds/14/cardano-open-developers/dcone-swap-aggregator" TargetMode="External"/><Relationship Id="rId114" Type="http://schemas.openxmlformats.org/officeDocument/2006/relationships/hyperlink" Target="https://projectcatalyst.io/funds/14/cardano-open-developers/tradfi-midnightzk-sdk-bridge-banking-to-cardano-defi" TargetMode="External"/><Relationship Id="rId235" Type="http://schemas.openxmlformats.org/officeDocument/2006/relationships/hyperlink" Target="https://projectcatalyst.io/funds/14/cardano-open-developers/lucem-v2-enhanced-features-simplicity-and-stability" TargetMode="External"/><Relationship Id="rId113" Type="http://schemas.openxmlformats.org/officeDocument/2006/relationships/hyperlink" Target="https://projectcatalyst.io/funds/14/cardano-open-developers/solidity-to-aiken-1-click-cross-chain-code-tool" TargetMode="External"/><Relationship Id="rId234" Type="http://schemas.openxmlformats.org/officeDocument/2006/relationships/hyperlink" Target="https://projectcatalyst.io/funds/14/cardano-open-developers/247-developer-code-support-chatbot" TargetMode="External"/><Relationship Id="rId112" Type="http://schemas.openxmlformats.org/officeDocument/2006/relationships/hyperlink" Target="https://projectcatalyst.io/funds/14/cardano-open-developers/mesh-transaction-v2-unified-serialization-feat-pallas" TargetMode="External"/><Relationship Id="rId233" Type="http://schemas.openxmlformats.org/officeDocument/2006/relationships/hyperlink" Target="https://projectcatalyst.io/funds/14/cardano-open-developers/ai-insights-blockchain-based-ai-analytics-platform" TargetMode="External"/><Relationship Id="rId111" Type="http://schemas.openxmlformats.org/officeDocument/2006/relationships/hyperlink" Target="https://projectcatalyst.io/funds/14/cardano-open-developers/inheritance-smart-contracts-web3-and-real-world-genwealth" TargetMode="External"/><Relationship Id="rId232" Type="http://schemas.openxmlformats.org/officeDocument/2006/relationships/hyperlink" Target="https://projectcatalyst.io/funds/14/cardano-open-developers/plutus-debugger-extension-for-vscode" TargetMode="External"/><Relationship Id="rId206" Type="http://schemas.openxmlformats.org/officeDocument/2006/relationships/hyperlink" Target="https://projectcatalyst.io/funds/14/cardano-open-developers/frenpay-cardano-native-payment-gateway" TargetMode="External"/><Relationship Id="rId205" Type="http://schemas.openxmlformats.org/officeDocument/2006/relationships/hyperlink" Target="https://projectcatalyst.io/funds/14/cardano-open-developers/sky-protocol-implement-a-multisig-protocol" TargetMode="External"/><Relationship Id="rId204" Type="http://schemas.openxmlformats.org/officeDocument/2006/relationships/hyperlink" Target="https://projectcatalyst.io/funds/14/cardano-open-developers/cardano-devx-kit" TargetMode="External"/><Relationship Id="rId203" Type="http://schemas.openxmlformats.org/officeDocument/2006/relationships/hyperlink" Target="https://projectcatalyst.io/funds/14/cardano-open-developers/cardano-trading-advisor-and-onboarding-gpts" TargetMode="External"/><Relationship Id="rId209" Type="http://schemas.openxmlformats.org/officeDocument/2006/relationships/hyperlink" Target="https://projectcatalyst.io/funds/14/cardano-open-developers/speedrun-aiken-a-developer-onboarding-platform-for-cardano" TargetMode="External"/><Relationship Id="rId208" Type="http://schemas.openxmlformats.org/officeDocument/2006/relationships/hyperlink" Target="https://projectcatalyst.io/funds/14/cardano-open-developers/caf-open-source-agent-toolkit-tailored-for-cardano" TargetMode="External"/><Relationship Id="rId207" Type="http://schemas.openxmlformats.org/officeDocument/2006/relationships/hyperlink" Target="https://projectcatalyst.io/funds/14/cardano-open-developers/gamechanger-on-chain-file-storage-on-cardano-gcfs" TargetMode="External"/><Relationship Id="rId202" Type="http://schemas.openxmlformats.org/officeDocument/2006/relationships/hyperlink" Target="https://projectcatalyst.io/funds/14/cardano-open-developers/integrate-cardano-in-reown-appkit-walletconnect-update" TargetMode="External"/><Relationship Id="rId201" Type="http://schemas.openxmlformats.org/officeDocument/2006/relationships/hyperlink" Target="https://projectcatalyst.io/funds/14/cardano-open-developers/onchain-smart-contract-classifier-library-pythonjs" TargetMode="External"/><Relationship Id="rId200" Type="http://schemas.openxmlformats.org/officeDocument/2006/relationships/hyperlink" Target="https://projectcatalyst.io/funds/14/cardano-open-developers/txcheck-an-aiken-framework-for-tx-testing-and-simulation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projectcatalyst.io/funds/14/cardano-open-ecosystem/cardano-university-clubs-network-cucn" TargetMode="External"/><Relationship Id="rId194" Type="http://schemas.openxmlformats.org/officeDocument/2006/relationships/hyperlink" Target="https://projectcatalyst.io/funds/14/cardano-open-ecosystem/cardano-tiktok-outreach-engaging-the-community" TargetMode="External"/><Relationship Id="rId193" Type="http://schemas.openxmlformats.org/officeDocument/2006/relationships/hyperlink" Target="https://projectcatalyst.io/funds/14/cardano-open-ecosystem/cardano-in-spanish-3" TargetMode="External"/><Relationship Id="rId192" Type="http://schemas.openxmlformats.org/officeDocument/2006/relationships/hyperlink" Target="https://projectcatalyst.io/funds/14/cardano-open-ecosystem/cardano-blockchain-developer-certification-in-latin-america" TargetMode="External"/><Relationship Id="rId191" Type="http://schemas.openxmlformats.org/officeDocument/2006/relationships/hyperlink" Target="https://projectcatalyst.io/funds/14/cardano-open-ecosystem/building-the-future-cardano-hub-in-northeast-brazil" TargetMode="External"/><Relationship Id="rId187" Type="http://schemas.openxmlformats.org/officeDocument/2006/relationships/hyperlink" Target="https://projectcatalyst.io/funds/14/cardano-open-ecosystem/cardano-build-kitchen-india-ideate-collaborate-showcase" TargetMode="External"/><Relationship Id="rId186" Type="http://schemas.openxmlformats.org/officeDocument/2006/relationships/hyperlink" Target="https://projectcatalyst.io/funds/14/cardano-open-ecosystem/stablecoin-trading-bots-education-and-marketplace-portal" TargetMode="External"/><Relationship Id="rId185" Type="http://schemas.openxmlformats.org/officeDocument/2006/relationships/hyperlink" Target="https://projectcatalyst.io/funds/14/cardano-open-ecosystem/cardano-summit-nyc-2026-global-defi-connect" TargetMode="External"/><Relationship Id="rId184" Type="http://schemas.openxmlformats.org/officeDocument/2006/relationships/hyperlink" Target="https://projectcatalyst.io/funds/14/cardano-open-ecosystem/afaanchain-academy-bridging-language-gaps-in-blockchain" TargetMode="External"/><Relationship Id="rId189" Type="http://schemas.openxmlformats.org/officeDocument/2006/relationships/hyperlink" Target="https://projectcatalyst.io/funds/14/cardano-open-ecosystem/proof-of-coffee-cardano-talks" TargetMode="External"/><Relationship Id="rId188" Type="http://schemas.openxmlformats.org/officeDocument/2006/relationships/hyperlink" Target="https://projectcatalyst.io/funds/14/cardano-open-ecosystem/brazil-and-portugal-aiken-course-in-portuguese-for-devs" TargetMode="External"/><Relationship Id="rId183" Type="http://schemas.openxmlformats.org/officeDocument/2006/relationships/hyperlink" Target="https://projectcatalyst.io/funds/14/cardano-open-ecosystem/cardano-awareness-multilingual-blockchain-education" TargetMode="External"/><Relationship Id="rId182" Type="http://schemas.openxmlformats.org/officeDocument/2006/relationships/hyperlink" Target="https://projectcatalyst.io/funds/14/cardano-open-ecosystem/student-focus-curriculum-for-cardano-devs" TargetMode="External"/><Relationship Id="rId181" Type="http://schemas.openxmlformats.org/officeDocument/2006/relationships/hyperlink" Target="https://projectcatalyst.io/funds/14/cardano-open-ecosystem/blockforge-africa-incubator-and-accelerator" TargetMode="External"/><Relationship Id="rId180" Type="http://schemas.openxmlformats.org/officeDocument/2006/relationships/hyperlink" Target="https://projectcatalyst.io/funds/14/cardano-open-ecosystem/nkrypt-a-grassroots-campaign-for-cardano-creator-adoption" TargetMode="External"/><Relationship Id="rId176" Type="http://schemas.openxmlformats.org/officeDocument/2006/relationships/hyperlink" Target="https://projectcatalyst.io/funds/14/cardano-open-ecosystem/5pc-cardano-breaking-news" TargetMode="External"/><Relationship Id="rId297" Type="http://schemas.openxmlformats.org/officeDocument/2006/relationships/hyperlink" Target="https://projectcatalyst.io/funds/14/cardano-open-ecosystem/university-network-aiken-development-program-for-latam" TargetMode="External"/><Relationship Id="rId175" Type="http://schemas.openxmlformats.org/officeDocument/2006/relationships/hyperlink" Target="https://projectcatalyst.io/funds/14/cardano-open-ecosystem/cardano-ghana-bootcamp" TargetMode="External"/><Relationship Id="rId296" Type="http://schemas.openxmlformats.org/officeDocument/2006/relationships/hyperlink" Target="https://projectcatalyst.io/funds/14/cardano-open-ecosystem/shine-up-the-ecosystem" TargetMode="External"/><Relationship Id="rId174" Type="http://schemas.openxmlformats.org/officeDocument/2006/relationships/hyperlink" Target="https://projectcatalyst.io/funds/14/cardano-open-ecosystem/linkberry-kenya-cardano-powered-creator-academy" TargetMode="External"/><Relationship Id="rId295" Type="http://schemas.openxmlformats.org/officeDocument/2006/relationships/hyperlink" Target="https://projectcatalyst.io/funds/14/cardano-open-ecosystem/empowering-global-cardano-growth-with-lean-education" TargetMode="External"/><Relationship Id="rId173" Type="http://schemas.openxmlformats.org/officeDocument/2006/relationships/hyperlink" Target="https://projectcatalyst.io/funds/14/cardano-open-ecosystem/cardano-incubator-for-students-of-universities-in-venezuela" TargetMode="External"/><Relationship Id="rId294" Type="http://schemas.openxmlformats.org/officeDocument/2006/relationships/hyperlink" Target="https://projectcatalyst.io/funds/14/cardano-open-ecosystem/cardano-ecopools-carbon-footprint-mitigation-strategies" TargetMode="External"/><Relationship Id="rId179" Type="http://schemas.openxmlformats.org/officeDocument/2006/relationships/hyperlink" Target="https://projectcatalyst.io/funds/14/cardano-open-ecosystem/1000-cardano-wallets-onboarding-perth-western-australia" TargetMode="External"/><Relationship Id="rId178" Type="http://schemas.openxmlformats.org/officeDocument/2006/relationships/hyperlink" Target="https://projectcatalyst.io/funds/14/cardano-open-ecosystem/funding-the-commons-buenos-aires-residency" TargetMode="External"/><Relationship Id="rId299" Type="http://schemas.openxmlformats.org/officeDocument/2006/relationships/hyperlink" Target="https://projectcatalyst.io/funds/14/cardano-open-ecosystem/ascent-rivals-marketing-gaming-events-in-person-and-online" TargetMode="External"/><Relationship Id="rId177" Type="http://schemas.openxmlformats.org/officeDocument/2006/relationships/hyperlink" Target="https://projectcatalyst.io/funds/14/cardano-open-ecosystem/cardano-4teens-educating-teens-for-a-blockchain-future" TargetMode="External"/><Relationship Id="rId298" Type="http://schemas.openxmlformats.org/officeDocument/2006/relationships/hyperlink" Target="https://projectcatalyst.io/funds/14/cardano-open-ecosystem/cardano-blockchain-curriculum-in-top-universities-in-africa" TargetMode="External"/><Relationship Id="rId198" Type="http://schemas.openxmlformats.org/officeDocument/2006/relationships/hyperlink" Target="https://projectcatalyst.io/funds/14/cardano-open-ecosystem/leader-talks-cardano-streaming" TargetMode="External"/><Relationship Id="rId197" Type="http://schemas.openxmlformats.org/officeDocument/2006/relationships/hyperlink" Target="https://projectcatalyst.io/funds/14/cardano-open-ecosystem/cafinet-cardano-legacy-the-future-builders" TargetMode="External"/><Relationship Id="rId196" Type="http://schemas.openxmlformats.org/officeDocument/2006/relationships/hyperlink" Target="https://projectcatalyst.io/funds/14/cardano-open-ecosystem/ivy-expanding-cardano-to-vietnams-investors-and-builders" TargetMode="External"/><Relationship Id="rId195" Type="http://schemas.openxmlformats.org/officeDocument/2006/relationships/hyperlink" Target="https://projectcatalyst.io/funds/14/cardano-open-ecosystem/cardano-cadets-the-military-forces-initiative" TargetMode="External"/><Relationship Id="rId199" Type="http://schemas.openxmlformats.org/officeDocument/2006/relationships/hyperlink" Target="https://projectcatalyst.io/funds/14/cardano-open-ecosystem/latam-devs-army-100-new-cardano-developers" TargetMode="External"/><Relationship Id="rId150" Type="http://schemas.openxmlformats.org/officeDocument/2006/relationships/hyperlink" Target="https://projectcatalyst.io/funds/14/cardano-open-ecosystem/c2vn-aiken-live-coding-cardano-smart-contract-mastery" TargetMode="External"/><Relationship Id="rId271" Type="http://schemas.openxmlformats.org/officeDocument/2006/relationships/hyperlink" Target="https://projectcatalyst.io/funds/14/cardano-open-ecosystem/onboard-30-ethiopian-merchants-to-accept-cardanoada" TargetMode="External"/><Relationship Id="rId392" Type="http://schemas.openxmlformats.org/officeDocument/2006/relationships/hyperlink" Target="https://projectcatalyst.io/funds/14/cardano-open-ecosystem/bandungcommunity-empowermentwomanventure-capital-localgrant" TargetMode="External"/><Relationship Id="rId270" Type="http://schemas.openxmlformats.org/officeDocument/2006/relationships/hyperlink" Target="https://projectcatalyst.io/funds/14/cardano-open-ecosystem/cardano-pavilion-at-premier-expos" TargetMode="External"/><Relationship Id="rId391" Type="http://schemas.openxmlformats.org/officeDocument/2006/relationships/hyperlink" Target="https://projectcatalyst.io/funds/14/cardano-open-ecosystem/libertarian-times-a-global-voice-for-freedom" TargetMode="External"/><Relationship Id="rId390" Type="http://schemas.openxmlformats.org/officeDocument/2006/relationships/hyperlink" Target="https://projectcatalyst.io/funds/14/cardano-open-ecosystem/cardano-blockchain-education-for-tamale-technical-university" TargetMode="External"/><Relationship Id="rId1" Type="http://schemas.openxmlformats.org/officeDocument/2006/relationships/hyperlink" Target="https://projectcatalyst.io/funds/14/cardano-open-ecosystem/cardano-at-sushitech-tokyo-japans-premier-tech-summit" TargetMode="External"/><Relationship Id="rId2" Type="http://schemas.openxmlformats.org/officeDocument/2006/relationships/hyperlink" Target="https://projectcatalyst.io/funds/14/cardano-open-ecosystem/discover-cardano-with-ctrl-wallet-short-video-series" TargetMode="External"/><Relationship Id="rId3" Type="http://schemas.openxmlformats.org/officeDocument/2006/relationships/hyperlink" Target="https://projectcatalyst.io/funds/14/cardano-open-ecosystem/charli3-oracles-hackathon" TargetMode="External"/><Relationship Id="rId149" Type="http://schemas.openxmlformats.org/officeDocument/2006/relationships/hyperlink" Target="https://projectcatalyst.io/funds/14/cardano-open-ecosystem/cardano-blockchain-education-for-east-african-universities" TargetMode="External"/><Relationship Id="rId4" Type="http://schemas.openxmlformats.org/officeDocument/2006/relationships/hyperlink" Target="https://projectcatalyst.io/funds/14/cardano-open-ecosystem/gimbalabs-vespr-cardano-onboarding-workshop-guideline" TargetMode="External"/><Relationship Id="rId148" Type="http://schemas.openxmlformats.org/officeDocument/2006/relationships/hyperlink" Target="https://projectcatalyst.io/funds/14/cardano-open-ecosystem/9dao-sample-project" TargetMode="External"/><Relationship Id="rId269" Type="http://schemas.openxmlformats.org/officeDocument/2006/relationships/hyperlink" Target="https://projectcatalyst.io/funds/14/cardano-open-ecosystem/catalyst-without-borders-diversifying-the-ballot" TargetMode="External"/><Relationship Id="rId9" Type="http://schemas.openxmlformats.org/officeDocument/2006/relationships/hyperlink" Target="https://projectcatalyst.io/funds/14/cardano-open-ecosystem/cardano-university-tour-argentina" TargetMode="External"/><Relationship Id="rId143" Type="http://schemas.openxmlformats.org/officeDocument/2006/relationships/hyperlink" Target="https://projectcatalyst.io/funds/14/cardano-open-ecosystem/agora-governance-knowledge-base" TargetMode="External"/><Relationship Id="rId264" Type="http://schemas.openxmlformats.org/officeDocument/2006/relationships/hyperlink" Target="https://projectcatalyst.io/funds/14/cardano-open-ecosystem/brazilportugal-daily-videos-and-weekly-spaces-on-cardano" TargetMode="External"/><Relationship Id="rId385" Type="http://schemas.openxmlformats.org/officeDocument/2006/relationships/hyperlink" Target="https://projectcatalyst.io/funds/14/cardano-open-ecosystem/unlocking-blockchain-potentialyouth-engagement-in-ethiopia" TargetMode="External"/><Relationship Id="rId142" Type="http://schemas.openxmlformats.org/officeDocument/2006/relationships/hyperlink" Target="https://projectcatalyst.io/funds/14/cardano-open-ecosystem/cardano-and-web3-onboarding-program-in-the-drc" TargetMode="External"/><Relationship Id="rId263" Type="http://schemas.openxmlformats.org/officeDocument/2006/relationships/hyperlink" Target="https://projectcatalyst.io/funds/14/cardano-open-ecosystem/devx-code-and-conquer-series-powered-by-cardano" TargetMode="External"/><Relationship Id="rId384" Type="http://schemas.openxmlformats.org/officeDocument/2006/relationships/hyperlink" Target="https://projectcatalyst.io/funds/14/cardano-open-ecosystem/drep-of-africa-local-profile-hub-and-delegator-guide" TargetMode="External"/><Relationship Id="rId141" Type="http://schemas.openxmlformats.org/officeDocument/2006/relationships/hyperlink" Target="https://projectcatalyst.io/funds/14/cardano-open-ecosystem/cardanoagro-latam-hub-pilot-phase-brazil" TargetMode="External"/><Relationship Id="rId262" Type="http://schemas.openxmlformats.org/officeDocument/2006/relationships/hyperlink" Target="https://projectcatalyst.io/funds/14/cardano-open-ecosystem/latam-cardano-yearly-event-colombia-2026" TargetMode="External"/><Relationship Id="rId383" Type="http://schemas.openxmlformats.org/officeDocument/2006/relationships/hyperlink" Target="https://projectcatalyst.io/funds/14/cardano-open-ecosystem/the-state-of-bd-in-the-cardano-ecosystem" TargetMode="External"/><Relationship Id="rId140" Type="http://schemas.openxmlformats.org/officeDocument/2006/relationships/hyperlink" Target="https://projectcatalyst.io/funds/14/cardano-open-ecosystem/uba-university-cardano-developer-bootcamp-and-hackathon" TargetMode="External"/><Relationship Id="rId261" Type="http://schemas.openxmlformats.org/officeDocument/2006/relationships/hyperlink" Target="https://projectcatalyst.io/funds/14/cardano-open-ecosystem/cardano-gamified-playground-for-highschool-and-university" TargetMode="External"/><Relationship Id="rId382" Type="http://schemas.openxmlformats.org/officeDocument/2006/relationships/hyperlink" Target="https://projectcatalyst.io/funds/14/cardano-open-ecosystem/1-minute-cardano-clips-quick-simple-local" TargetMode="External"/><Relationship Id="rId5" Type="http://schemas.openxmlformats.org/officeDocument/2006/relationships/hyperlink" Target="https://projectcatalyst.io/funds/14/cardano-open-ecosystem/empowering-real-world-ada-adoption-with-ashiya-pool" TargetMode="External"/><Relationship Id="rId147" Type="http://schemas.openxmlformats.org/officeDocument/2006/relationships/hyperlink" Target="https://projectcatalyst.io/funds/14/cardano-open-ecosystem/homeless-hub-ideas-lab-ideating-dapps-for-homeless-people" TargetMode="External"/><Relationship Id="rId268" Type="http://schemas.openxmlformats.org/officeDocument/2006/relationships/hyperlink" Target="https://projectcatalyst.io/funds/14/cardano-open-ecosystem/vendano-physical-hoskynft-card-campaign-10-us-cities" TargetMode="External"/><Relationship Id="rId389" Type="http://schemas.openxmlformats.org/officeDocument/2006/relationships/hyperlink" Target="https://projectcatalyst.io/funds/14/cardano-open-ecosystem/a-safari-on-cardano-teambuilding-corporate" TargetMode="External"/><Relationship Id="rId6" Type="http://schemas.openxmlformats.org/officeDocument/2006/relationships/hyperlink" Target="https://projectcatalyst.io/funds/14/cardano-open-ecosystem/sidan-or-waffle-hong-kong-cardano-community" TargetMode="External"/><Relationship Id="rId146" Type="http://schemas.openxmlformats.org/officeDocument/2006/relationships/hyperlink" Target="https://projectcatalyst.io/funds/14/cardano-open-ecosystem/drep4schools-student-leadership-meets-cardano-governance" TargetMode="External"/><Relationship Id="rId267" Type="http://schemas.openxmlformats.org/officeDocument/2006/relationships/hyperlink" Target="https://projectcatalyst.io/funds/14/cardano-open-ecosystem/erasmus-blockchain-club-network" TargetMode="External"/><Relationship Id="rId388" Type="http://schemas.openxmlformats.org/officeDocument/2006/relationships/hyperlink" Target="https://projectcatalyst.io/funds/14/cardano-open-ecosystem/nextchain-empowering-10000-youth-and-startups-into-web3" TargetMode="External"/><Relationship Id="rId7" Type="http://schemas.openxmlformats.org/officeDocument/2006/relationships/hyperlink" Target="https://projectcatalyst.io/funds/14/cardano-open-ecosystem/nucast-music-video-festival-2026" TargetMode="External"/><Relationship Id="rId145" Type="http://schemas.openxmlformats.org/officeDocument/2006/relationships/hyperlink" Target="https://projectcatalyst.io/funds/14/cardano-open-ecosystem/bbo-the-24-hour-cardano-pulse" TargetMode="External"/><Relationship Id="rId266" Type="http://schemas.openxmlformats.org/officeDocument/2006/relationships/hyperlink" Target="https://projectcatalyst.io/funds/14/cardano-open-ecosystem/empowering-women-in-ghana-cardano-hubs-for-blockchain-and-biz" TargetMode="External"/><Relationship Id="rId387" Type="http://schemas.openxmlformats.org/officeDocument/2006/relationships/hyperlink" Target="https://projectcatalyst.io/funds/14/cardano-open-ecosystem/cardano-rise-ethiopia-pilot-festivals" TargetMode="External"/><Relationship Id="rId8" Type="http://schemas.openxmlformats.org/officeDocument/2006/relationships/hyperlink" Target="https://projectcatalyst.io/funds/14/cardano-open-ecosystem/by-txpipe-cardano-buidler-fest-buenos-aires-2026" TargetMode="External"/><Relationship Id="rId144" Type="http://schemas.openxmlformats.org/officeDocument/2006/relationships/hyperlink" Target="https://projectcatalyst.io/funds/14/cardano-open-ecosystem/cardano-101-secure-onboarding-for-new-users" TargetMode="External"/><Relationship Id="rId265" Type="http://schemas.openxmlformats.org/officeDocument/2006/relationships/hyperlink" Target="https://projectcatalyst.io/funds/14/cardano-open-ecosystem/digital-assets-roundtable-series-20" TargetMode="External"/><Relationship Id="rId386" Type="http://schemas.openxmlformats.org/officeDocument/2006/relationships/hyperlink" Target="https://projectcatalyst.io/funds/14/cardano-open-ecosystem/ethiopia-cardano-campus-tour-blockchain-for-students" TargetMode="External"/><Relationship Id="rId260" Type="http://schemas.openxmlformats.org/officeDocument/2006/relationships/hyperlink" Target="https://projectcatalyst.io/funds/14/cardano-open-ecosystem/women-on-chain-ethiopia-cardano-literacy-and-access" TargetMode="External"/><Relationship Id="rId381" Type="http://schemas.openxmlformats.org/officeDocument/2006/relationships/hyperlink" Target="https://projectcatalyst.io/funds/14/cardano-open-ecosystem/cardano-top-3-ethiopian-universities-festival" TargetMode="External"/><Relationship Id="rId380" Type="http://schemas.openxmlformats.org/officeDocument/2006/relationships/hyperlink" Target="https://projectcatalyst.io/funds/14/cardano-open-ecosystem/breaking-the-language-barrier-for-ethiopian-youth" TargetMode="External"/><Relationship Id="rId139" Type="http://schemas.openxmlformats.org/officeDocument/2006/relationships/hyperlink" Target="https://projectcatalyst.io/funds/14/cardano-open-ecosystem/connect-the-dots-monthly-cardano-london-meetups" TargetMode="External"/><Relationship Id="rId138" Type="http://schemas.openxmlformats.org/officeDocument/2006/relationships/hyperlink" Target="https://projectcatalyst.io/funds/14/cardano-open-ecosystem/udemy-for-cardano" TargetMode="External"/><Relationship Id="rId259" Type="http://schemas.openxmlformats.org/officeDocument/2006/relationships/hyperlink" Target="https://projectcatalyst.io/funds/14/cardano-open-ecosystem/catalyst-impact-analysis-study" TargetMode="External"/><Relationship Id="rId137" Type="http://schemas.openxmlformats.org/officeDocument/2006/relationships/hyperlink" Target="https://projectcatalyst.io/funds/14/cardano-open-ecosystem/cardano-indonesia-on-chain-governance-workshop-2025-2026" TargetMode="External"/><Relationship Id="rId258" Type="http://schemas.openxmlformats.org/officeDocument/2006/relationships/hyperlink" Target="https://projectcatalyst.io/funds/14/cardano-open-ecosystem/crypto-law-education-for-lawyers" TargetMode="External"/><Relationship Id="rId379" Type="http://schemas.openxmlformats.org/officeDocument/2006/relationships/hyperlink" Target="https://projectcatalyst.io/funds/14/cardano-open-ecosystem/blockchain-x-luxury-innovation-labs-academic-program" TargetMode="External"/><Relationship Id="rId132" Type="http://schemas.openxmlformats.org/officeDocument/2006/relationships/hyperlink" Target="https://projectcatalyst.io/funds/14/cardano-open-ecosystem/drep-mentorship-circle-peer-to-peer-governance-growth-model" TargetMode="External"/><Relationship Id="rId253" Type="http://schemas.openxmlformats.org/officeDocument/2006/relationships/hyperlink" Target="https://projectcatalyst.io/funds/14/cardano-open-ecosystem/women-of-web3-support-channels" TargetMode="External"/><Relationship Id="rId374" Type="http://schemas.openxmlformats.org/officeDocument/2006/relationships/hyperlink" Target="https://projectcatalyst.io/funds/14/cardano-open-ecosystem/chain-hub-africas-first-web3-culture-incubator-for-cardano" TargetMode="External"/><Relationship Id="rId131" Type="http://schemas.openxmlformats.org/officeDocument/2006/relationships/hyperlink" Target="https://projectcatalyst.io/funds/14/cardano-open-ecosystem/rwa-blockchain-attention-camps-in-gstaad-and-montreux" TargetMode="External"/><Relationship Id="rId252" Type="http://schemas.openxmlformats.org/officeDocument/2006/relationships/hyperlink" Target="https://projectcatalyst.io/funds/14/cardano-open-ecosystem/activating-100k-users-first-cardano-wallet-and-tx" TargetMode="External"/><Relationship Id="rId373" Type="http://schemas.openxmlformats.org/officeDocument/2006/relationships/hyperlink" Target="https://projectcatalyst.io/funds/14/cardano-open-ecosystem/cardano-institutional-and-enterprise-onboarding-2025-2026" TargetMode="External"/><Relationship Id="rId130" Type="http://schemas.openxmlformats.org/officeDocument/2006/relationships/hyperlink" Target="https://projectcatalyst.io/funds/14/cardano-open-ecosystem/translate-and-publish-i-can-aiken-book-to-vietnamese" TargetMode="External"/><Relationship Id="rId251" Type="http://schemas.openxmlformats.org/officeDocument/2006/relationships/hyperlink" Target="https://projectcatalyst.io/funds/14/cardano-open-ecosystem/accessible-cardano-educational-resources-in-spanish" TargetMode="External"/><Relationship Id="rId372" Type="http://schemas.openxmlformats.org/officeDocument/2006/relationships/hyperlink" Target="https://projectcatalyst.io/funds/14/cardano-open-ecosystem/cardano-amharicswahili-ed-end-exclusion-for-85morest-africa" TargetMode="External"/><Relationship Id="rId250" Type="http://schemas.openxmlformats.org/officeDocument/2006/relationships/hyperlink" Target="https://projectcatalyst.io/funds/14/cardano-open-ecosystem/cardanos-future-building-the-young" TargetMode="External"/><Relationship Id="rId371" Type="http://schemas.openxmlformats.org/officeDocument/2006/relationships/hyperlink" Target="https://projectcatalyst.io/funds/14/cardano-open-ecosystem/travel-and-vacation-insurance" TargetMode="External"/><Relationship Id="rId136" Type="http://schemas.openxmlformats.org/officeDocument/2006/relationships/hyperlink" Target="https://projectcatalyst.io/funds/14/cardano-open-ecosystem/cardano-public-goods-hub" TargetMode="External"/><Relationship Id="rId257" Type="http://schemas.openxmlformats.org/officeDocument/2006/relationships/hyperlink" Target="https://projectcatalyst.io/funds/14/cardano-open-ecosystem/explaining-blockchain-simply-cardano-education-for-everyone" TargetMode="External"/><Relationship Id="rId378" Type="http://schemas.openxmlformats.org/officeDocument/2006/relationships/hyperlink" Target="https://projectcatalyst.io/funds/14/cardano-open-ecosystem/women-of-web3-cardano-empowerment-program" TargetMode="External"/><Relationship Id="rId135" Type="http://schemas.openxmlformats.org/officeDocument/2006/relationships/hyperlink" Target="https://projectcatalyst.io/funds/14/cardano-open-ecosystem/calderdale-cardano-centre-crypto-for-west-yorkshire" TargetMode="External"/><Relationship Id="rId256" Type="http://schemas.openxmlformats.org/officeDocument/2006/relationships/hyperlink" Target="https://projectcatalyst.io/funds/14/cardano-open-ecosystem/cardano-vietnam-x-sky3team-vietnam-cardano-builder-hub" TargetMode="External"/><Relationship Id="rId377" Type="http://schemas.openxmlformats.org/officeDocument/2006/relationships/hyperlink" Target="https://projectcatalyst.io/funds/14/cardano-open-ecosystem/cardano-user-security-cybersecurity-and-crypto-safety-guide" TargetMode="External"/><Relationship Id="rId134" Type="http://schemas.openxmlformats.org/officeDocument/2006/relationships/hyperlink" Target="https://projectcatalyst.io/funds/14/cardano-open-ecosystem/ecc-founder-hub-continuation-of-european-cardano-community" TargetMode="External"/><Relationship Id="rId255" Type="http://schemas.openxmlformats.org/officeDocument/2006/relationships/hyperlink" Target="https://projectcatalyst.io/funds/14/cardano-open-ecosystem/automated-content-engine-for-cardano-awareness" TargetMode="External"/><Relationship Id="rId376" Type="http://schemas.openxmlformats.org/officeDocument/2006/relationships/hyperlink" Target="https://projectcatalyst.io/funds/14/cardano-open-ecosystem/sova-bars-ada-bill-payment-50percent-off-in-3-major-cities-in-vn" TargetMode="External"/><Relationship Id="rId133" Type="http://schemas.openxmlformats.org/officeDocument/2006/relationships/hyperlink" Target="https://projectcatalyst.io/funds/14/cardano-open-ecosystem/practical-cardano-dapps-for-community-impact" TargetMode="External"/><Relationship Id="rId254" Type="http://schemas.openxmlformats.org/officeDocument/2006/relationships/hyperlink" Target="https://projectcatalyst.io/funds/14/cardano-open-ecosystem/cardano-for-northern-ghana-empowering-north-on-cardano" TargetMode="External"/><Relationship Id="rId375" Type="http://schemas.openxmlformats.org/officeDocument/2006/relationships/hyperlink" Target="https://projectcatalyst.io/funds/14/cardano-open-ecosystem/cardano-innovators-club" TargetMode="External"/><Relationship Id="rId172" Type="http://schemas.openxmlformats.org/officeDocument/2006/relationships/hyperlink" Target="https://projectcatalyst.io/funds/14/cardano-open-ecosystem/scaling-cardanos-voice-in-latin-america" TargetMode="External"/><Relationship Id="rId293" Type="http://schemas.openxmlformats.org/officeDocument/2006/relationships/hyperlink" Target="https://projectcatalyst.io/funds/14/cardano-open-ecosystem/ethiopias-first-ada-cafe-blockchain-adoption-pilot" TargetMode="External"/><Relationship Id="rId171" Type="http://schemas.openxmlformats.org/officeDocument/2006/relationships/hyperlink" Target="https://projectcatalyst.io/funds/14/cardano-open-ecosystem/cafinet-cardano-explorers-explore-the-cardano-ecosystem" TargetMode="External"/><Relationship Id="rId292" Type="http://schemas.openxmlformats.org/officeDocument/2006/relationships/hyperlink" Target="https://projectcatalyst.io/funds/14/cardano-open-ecosystem/young-nola-blockchain-supper-series-culturecardanocuisine" TargetMode="External"/><Relationship Id="rId170" Type="http://schemas.openxmlformats.org/officeDocument/2006/relationships/hyperlink" Target="https://projectcatalyst.io/funds/14/cardano-open-ecosystem/esg-masters-a-tech-for-sustainability-conference-format" TargetMode="External"/><Relationship Id="rId291" Type="http://schemas.openxmlformats.org/officeDocument/2006/relationships/hyperlink" Target="https://projectcatalyst.io/funds/14/cardano-open-ecosystem/cardano-developers-launchpad" TargetMode="External"/><Relationship Id="rId290" Type="http://schemas.openxmlformats.org/officeDocument/2006/relationships/hyperlink" Target="https://projectcatalyst.io/funds/14/cardano-open-ecosystem/cardano-blockchain-literacy-and-adoption-program" TargetMode="External"/><Relationship Id="rId165" Type="http://schemas.openxmlformats.org/officeDocument/2006/relationships/hyperlink" Target="https://projectcatalyst.io/funds/14/cardano-open-ecosystem/cardano-innovation-hub-build-developers-launch-ventures" TargetMode="External"/><Relationship Id="rId286" Type="http://schemas.openxmlformats.org/officeDocument/2006/relationships/hyperlink" Target="https://projectcatalyst.io/funds/14/cardano-open-ecosystem/cardanos-online-presence-for-enterprise-sales-and-bd" TargetMode="External"/><Relationship Id="rId164" Type="http://schemas.openxmlformats.org/officeDocument/2006/relationships/hyperlink" Target="https://projectcatalyst.io/funds/14/cardano-open-ecosystem/global-townhall-summaries-for-latam" TargetMode="External"/><Relationship Id="rId285" Type="http://schemas.openxmlformats.org/officeDocument/2006/relationships/hyperlink" Target="https://projectcatalyst.io/funds/14/cardano-open-ecosystem/financial-literacy-and-cardano-for-disabled-and-women" TargetMode="External"/><Relationship Id="rId163" Type="http://schemas.openxmlformats.org/officeDocument/2006/relationships/hyperlink" Target="https://projectcatalyst.io/funds/14/cardano-open-ecosystem/cardano-soomaali-youtube-and-telegram-for-education" TargetMode="External"/><Relationship Id="rId284" Type="http://schemas.openxmlformats.org/officeDocument/2006/relationships/hyperlink" Target="https://projectcatalyst.io/funds/14/cardano-open-ecosystem/10000-memes-one-voice-cardano-goes-viral" TargetMode="External"/><Relationship Id="rId162" Type="http://schemas.openxmlformats.org/officeDocument/2006/relationships/hyperlink" Target="https://projectcatalyst.io/funds/14/cardano-open-ecosystem/cardanative-enterprises-and-agencies" TargetMode="External"/><Relationship Id="rId283" Type="http://schemas.openxmlformats.org/officeDocument/2006/relationships/hyperlink" Target="https://projectcatalyst.io/funds/14/cardano-open-ecosystem/podcast-cardano-latam-voices" TargetMode="External"/><Relationship Id="rId169" Type="http://schemas.openxmlformats.org/officeDocument/2006/relationships/hyperlink" Target="https://projectcatalyst.io/funds/14/cardano-open-ecosystem/revolutionizing-professional-accountability-on-cardano" TargetMode="External"/><Relationship Id="rId168" Type="http://schemas.openxmlformats.org/officeDocument/2006/relationships/hyperlink" Target="https://projectcatalyst.io/funds/14/cardano-open-ecosystem/sandbox-consolidation-a-nationwide-push-for-cardano-adoption" TargetMode="External"/><Relationship Id="rId289" Type="http://schemas.openxmlformats.org/officeDocument/2006/relationships/hyperlink" Target="https://projectcatalyst.io/funds/14/cardano-open-ecosystem/cardano-bootcamp-empowering-ethiopian-teens-18-19" TargetMode="External"/><Relationship Id="rId167" Type="http://schemas.openxmlformats.org/officeDocument/2006/relationships/hyperlink" Target="https://projectcatalyst.io/funds/14/cardano-open-ecosystem/cardano-summit-paraguay-2025" TargetMode="External"/><Relationship Id="rId288" Type="http://schemas.openxmlformats.org/officeDocument/2006/relationships/hyperlink" Target="https://projectcatalyst.io/funds/14/cardano-open-ecosystem/access-to-cardano-made-easy" TargetMode="External"/><Relationship Id="rId166" Type="http://schemas.openxmlformats.org/officeDocument/2006/relationships/hyperlink" Target="https://projectcatalyst.io/funds/14/cardano-open-ecosystem/blockchain-adventures-a-6-book-childrens-series" TargetMode="External"/><Relationship Id="rId287" Type="http://schemas.openxmlformats.org/officeDocument/2006/relationships/hyperlink" Target="https://projectcatalyst.io/funds/14/cardano-open-ecosystem/cardano-afri-hub" TargetMode="External"/><Relationship Id="rId161" Type="http://schemas.openxmlformats.org/officeDocument/2006/relationships/hyperlink" Target="https://projectcatalyst.io/funds/14/cardano-open-ecosystem/cardano-community-showcase-for-multichain-crowd-berlin" TargetMode="External"/><Relationship Id="rId282" Type="http://schemas.openxmlformats.org/officeDocument/2006/relationships/hyperlink" Target="https://projectcatalyst.io/funds/14/cardano-open-ecosystem/lets-token-tokenization-for-a-better-world-on-cardano" TargetMode="External"/><Relationship Id="rId160" Type="http://schemas.openxmlformats.org/officeDocument/2006/relationships/hyperlink" Target="https://projectcatalyst.io/funds/14/cardano-open-ecosystem/content-creator-defi-adoption-campaign" TargetMode="External"/><Relationship Id="rId281" Type="http://schemas.openxmlformats.org/officeDocument/2006/relationships/hyperlink" Target="https://projectcatalyst.io/funds/14/cardano-open-ecosystem/cardano-winner-learn-play-and-win-ada-crypto" TargetMode="External"/><Relationship Id="rId280" Type="http://schemas.openxmlformats.org/officeDocument/2006/relationships/hyperlink" Target="https://projectcatalyst.io/funds/14/cardano-open-ecosystem/aksum-products-cardano-media" TargetMode="External"/><Relationship Id="rId159" Type="http://schemas.openxmlformats.org/officeDocument/2006/relationships/hyperlink" Target="https://projectcatalyst.io/funds/14/cardano-open-ecosystem/web3-cites-network-x-cardano" TargetMode="External"/><Relationship Id="rId154" Type="http://schemas.openxmlformats.org/officeDocument/2006/relationships/hyperlink" Target="https://projectcatalyst.io/funds/14/cardano-open-ecosystem/5pc-cardano-journey-cardano-education-and-expansion-podcast" TargetMode="External"/><Relationship Id="rId275" Type="http://schemas.openxmlformats.org/officeDocument/2006/relationships/hyperlink" Target="https://projectcatalyst.io/funds/14/cardano-open-ecosystem/founders-guild-cardanos-founder-incubator" TargetMode="External"/><Relationship Id="rId396" Type="http://schemas.openxmlformats.org/officeDocument/2006/relationships/hyperlink" Target="https://projectcatalyst.io/funds/14/cardano-open-ecosystem/gerocardan-blog-posts-and-x-content-for-community-education" TargetMode="External"/><Relationship Id="rId153" Type="http://schemas.openxmlformats.org/officeDocument/2006/relationships/hyperlink" Target="https://projectcatalyst.io/funds/14/cardano-open-ecosystem/statwig-advocacy-cardano-for-good-governance" TargetMode="External"/><Relationship Id="rId274" Type="http://schemas.openxmlformats.org/officeDocument/2006/relationships/hyperlink" Target="https://projectcatalyst.io/funds/14/cardano-open-ecosystem/knightsafe-onboarding-users-as-traders-rulebook" TargetMode="External"/><Relationship Id="rId395" Type="http://schemas.openxmlformats.org/officeDocument/2006/relationships/hyperlink" Target="https://projectcatalyst.io/funds/14/cardano-open-ecosystem/farmchainsms-based-cardano-education-for-smallholder-farmer" TargetMode="External"/><Relationship Id="rId152" Type="http://schemas.openxmlformats.org/officeDocument/2006/relationships/hyperlink" Target="https://projectcatalyst.io/funds/14/cardano-open-ecosystem/moldova-blockchain-centre" TargetMode="External"/><Relationship Id="rId273" Type="http://schemas.openxmlformats.org/officeDocument/2006/relationships/hyperlink" Target="https://projectcatalyst.io/funds/14/cardano-open-ecosystem/cardano-c-library-course" TargetMode="External"/><Relationship Id="rId394" Type="http://schemas.openxmlformats.org/officeDocument/2006/relationships/hyperlink" Target="https://projectcatalyst.io/funds/14/cardano-open-ecosystem/cardano-ethiopia-high-school-hub-blockchain-awareness" TargetMode="External"/><Relationship Id="rId151" Type="http://schemas.openxmlformats.org/officeDocument/2006/relationships/hyperlink" Target="https://projectcatalyst.io/funds/14/cardano-open-ecosystem/cardano-school-for-gifted-entrepreneurs" TargetMode="External"/><Relationship Id="rId272" Type="http://schemas.openxmlformats.org/officeDocument/2006/relationships/hyperlink" Target="https://projectcatalyst.io/funds/14/cardano-open-ecosystem/bringing-blockchain-to-our-community" TargetMode="External"/><Relationship Id="rId393" Type="http://schemas.openxmlformats.org/officeDocument/2006/relationships/hyperlink" Target="https://projectcatalyst.io/funds/14/cardano-open-ecosystem/cardano-learn-and-earn-interactive-quizzes-and-tutorials" TargetMode="External"/><Relationship Id="rId158" Type="http://schemas.openxmlformats.org/officeDocument/2006/relationships/hyperlink" Target="https://projectcatalyst.io/funds/14/cardano-open-ecosystem/cardano-core-program-boost-400-vietnam-dapp-ready-builders" TargetMode="External"/><Relationship Id="rId279" Type="http://schemas.openxmlformats.org/officeDocument/2006/relationships/hyperlink" Target="https://projectcatalyst.io/funds/14/cardano-open-ecosystem/ada-academy-knust-blockchain-education-and-rewards-tour" TargetMode="External"/><Relationship Id="rId157" Type="http://schemas.openxmlformats.org/officeDocument/2006/relationships/hyperlink" Target="https://projectcatalyst.io/funds/14/cardano-open-ecosystem/vcc-cardano-asset-tracker-privacy-easy-and-free" TargetMode="External"/><Relationship Id="rId278" Type="http://schemas.openxmlformats.org/officeDocument/2006/relationships/hyperlink" Target="https://projectcatalyst.io/funds/14/cardano-open-ecosystem/cardano-community-bounties-pilot-program" TargetMode="External"/><Relationship Id="rId399" Type="http://schemas.openxmlformats.org/officeDocument/2006/relationships/hyperlink" Target="https://projectcatalyst.io/funds/14/cardano-open-ecosystem/establishing-cardano-community-hub-in-southeast-nigeria" TargetMode="External"/><Relationship Id="rId156" Type="http://schemas.openxmlformats.org/officeDocument/2006/relationships/hyperlink" Target="https://projectcatalyst.io/funds/14/cardano-open-ecosystem/adapt-trondheim-cardano-in-person-bootcamp-series" TargetMode="External"/><Relationship Id="rId277" Type="http://schemas.openxmlformats.org/officeDocument/2006/relationships/hyperlink" Target="https://projectcatalyst.io/funds/14/cardano-open-ecosystem/closing-the-gender-gap-in-cardano-through-survey-research" TargetMode="External"/><Relationship Id="rId398" Type="http://schemas.openxmlformats.org/officeDocument/2006/relationships/hyperlink" Target="https://projectcatalyst.io/funds/14/cardano-open-ecosystem/animated-character-for-enhanced-brand-recognition" TargetMode="External"/><Relationship Id="rId155" Type="http://schemas.openxmlformats.org/officeDocument/2006/relationships/hyperlink" Target="https://projectcatalyst.io/funds/14/cardano-open-ecosystem/scatdao-monthly-dyor-competitions-and-scam-monitoring" TargetMode="External"/><Relationship Id="rId276" Type="http://schemas.openxmlformats.org/officeDocument/2006/relationships/hyperlink" Target="https://projectcatalyst.io/funds/14/cardano-open-ecosystem/cardano-woman-indonesia-black-parade-campaign" TargetMode="External"/><Relationship Id="rId397" Type="http://schemas.openxmlformats.org/officeDocument/2006/relationships/hyperlink" Target="https://projectcatalyst.io/funds/14/cardano-open-ecosystem/legal-readiness-bootcamp-for-cardano-founders" TargetMode="External"/><Relationship Id="rId40" Type="http://schemas.openxmlformats.org/officeDocument/2006/relationships/hyperlink" Target="https://projectcatalyst.io/funds/14/cardano-open-ecosystem/catalyst-review-made-trustworthy-with-andamio-protocol" TargetMode="External"/><Relationship Id="rId42" Type="http://schemas.openxmlformats.org/officeDocument/2006/relationships/hyperlink" Target="https://projectcatalyst.io/funds/14/cardano-open-ecosystem/c2vn-opshin-video-course-for-the-communitys-developers" TargetMode="External"/><Relationship Id="rId41" Type="http://schemas.openxmlformats.org/officeDocument/2006/relationships/hyperlink" Target="https://projectcatalyst.io/funds/14/cardano-open-ecosystem/c2vn-lucid-video-course-for-the-communitys-developers" TargetMode="External"/><Relationship Id="rId44" Type="http://schemas.openxmlformats.org/officeDocument/2006/relationships/hyperlink" Target="https://projectcatalyst.io/funds/14/cardano-open-ecosystem/organising-events-that-keep-cardano-in-the-news-in-japan-2" TargetMode="External"/><Relationship Id="rId43" Type="http://schemas.openxmlformats.org/officeDocument/2006/relationships/hyperlink" Target="https://projectcatalyst.io/funds/14/cardano-open-ecosystem/cafi-aiken-complete-guide-in-depth-cardano-programming" TargetMode="External"/><Relationship Id="rId46" Type="http://schemas.openxmlformats.org/officeDocument/2006/relationships/hyperlink" Target="https://projectcatalyst.io/funds/14/cardano-open-ecosystem/project-catalyst-drep-analysis-framework" TargetMode="External"/><Relationship Id="rId45" Type="http://schemas.openxmlformats.org/officeDocument/2006/relationships/hyperlink" Target="https://projectcatalyst.io/funds/14/cardano-open-ecosystem/online-cardano-training" TargetMode="External"/><Relationship Id="rId48" Type="http://schemas.openxmlformats.org/officeDocument/2006/relationships/hyperlink" Target="https://projectcatalyst.io/funds/14/cardano-open-ecosystem/i-can-aiken-translation-to-russian" TargetMode="External"/><Relationship Id="rId47" Type="http://schemas.openxmlformats.org/officeDocument/2006/relationships/hyperlink" Target="https://projectcatalyst.io/funds/14/cardano-open-ecosystem/japango-didsbt-passport-to-reach-36m-visitors-to-japan" TargetMode="External"/><Relationship Id="rId49" Type="http://schemas.openxmlformats.org/officeDocument/2006/relationships/hyperlink" Target="https://projectcatalyst.io/funds/14/cardano-open-ecosystem/cardano-hub-at-irish-university" TargetMode="External"/><Relationship Id="rId31" Type="http://schemas.openxmlformats.org/officeDocument/2006/relationships/hyperlink" Target="https://projectcatalyst.io/funds/14/cardano-open-ecosystem/zk-from-zero-on-cardano-ebook-by-elraulito" TargetMode="External"/><Relationship Id="rId30" Type="http://schemas.openxmlformats.org/officeDocument/2006/relationships/hyperlink" Target="https://projectcatalyst.io/funds/14/cardano-open-ecosystem/vietnam-university-cardano-workshop-and-onboarding-series" TargetMode="External"/><Relationship Id="rId33" Type="http://schemas.openxmlformats.org/officeDocument/2006/relationships/hyperlink" Target="https://projectcatalyst.io/funds/14/cardano-open-ecosystem/bright-future-ethio-japan-high-school-or" TargetMode="External"/><Relationship Id="rId32" Type="http://schemas.openxmlformats.org/officeDocument/2006/relationships/hyperlink" Target="https://projectcatalyst.io/funds/14/cardano-open-ecosystem/eutxo-fundamentals-plutarch-and-more-ebook-by-elraulito" TargetMode="External"/><Relationship Id="rId35" Type="http://schemas.openxmlformats.org/officeDocument/2006/relationships/hyperlink" Target="https://projectcatalyst.io/funds/14/cardano-open-ecosystem/1000-developers-trained-growing-cardano-in-kenya-and-nigeria" TargetMode="External"/><Relationship Id="rId34" Type="http://schemas.openxmlformats.org/officeDocument/2006/relationships/hyperlink" Target="https://projectcatalyst.io/funds/14/cardano-open-ecosystem/pycardano-the-ultimate-course-for-python-and-ai-developers" TargetMode="External"/><Relationship Id="rId37" Type="http://schemas.openxmlformats.org/officeDocument/2006/relationships/hyperlink" Target="https://projectcatalyst.io/funds/14/cardano-open-ecosystem/ouroboros-leios-online-training" TargetMode="External"/><Relationship Id="rId36" Type="http://schemas.openxmlformats.org/officeDocument/2006/relationships/hyperlink" Target="https://projectcatalyst.io/funds/14/cardano-open-ecosystem/defense-and-aerospace-blockchain-security-initiative" TargetMode="External"/><Relationship Id="rId39" Type="http://schemas.openxmlformats.org/officeDocument/2006/relationships/hyperlink" Target="https://projectcatalyst.io/funds/14/cardano-open-ecosystem/fimi-blockchain-course-for-vietnamese" TargetMode="External"/><Relationship Id="rId38" Type="http://schemas.openxmlformats.org/officeDocument/2006/relationships/hyperlink" Target="https://projectcatalyst.io/funds/14/cardano-open-ecosystem/cardano-automotive-initiative-blockchain-mobility-solutions" TargetMode="External"/><Relationship Id="rId20" Type="http://schemas.openxmlformats.org/officeDocument/2006/relationships/hyperlink" Target="https://projectcatalyst.io/funds/14/cardano-open-ecosystem/cardano-vietnam-monthly-meetups-2026" TargetMode="External"/><Relationship Id="rId22" Type="http://schemas.openxmlformats.org/officeDocument/2006/relationships/hyperlink" Target="https://projectcatalyst.io/funds/14/cardano-open-ecosystem/vietnamese-aiken-onboarding-resource-for-developers" TargetMode="External"/><Relationship Id="rId21" Type="http://schemas.openxmlformats.org/officeDocument/2006/relationships/hyperlink" Target="https://projectcatalyst.io/funds/14/cardano-open-ecosystem/cardano-hub-nbo-grassroot-community-building-by-lidonation" TargetMode="External"/><Relationship Id="rId24" Type="http://schemas.openxmlformats.org/officeDocument/2006/relationships/hyperlink" Target="https://projectcatalyst.io/funds/14/cardano-open-ecosystem/sustain-and-maintain-gimbalabs" TargetMode="External"/><Relationship Id="rId23" Type="http://schemas.openxmlformats.org/officeDocument/2006/relationships/hyperlink" Target="https://projectcatalyst.io/funds/14/cardano-open-ecosystem/sea-hackathon-shaping-southest-asias-next-cardano-builders" TargetMode="External"/><Relationship Id="rId409" Type="http://schemas.openxmlformats.org/officeDocument/2006/relationships/hyperlink" Target="https://projectcatalyst.io/funds/14/cardano-open-ecosystem/cardano-youth-clubs-building-the-next-generation" TargetMode="External"/><Relationship Id="rId404" Type="http://schemas.openxmlformats.org/officeDocument/2006/relationships/hyperlink" Target="https://projectcatalyst.io/funds/14/cardano-open-ecosystem/cardano-t-shirts-for-orphan-blockchain-education-in-ethiopia" TargetMode="External"/><Relationship Id="rId403" Type="http://schemas.openxmlformats.org/officeDocument/2006/relationships/hyperlink" Target="https://projectcatalyst.io/funds/14/cardano-open-ecosystem/cardano-education-for-hawassa-university" TargetMode="External"/><Relationship Id="rId402" Type="http://schemas.openxmlformats.org/officeDocument/2006/relationships/hyperlink" Target="https://projectcatalyst.io/funds/14/cardano-open-ecosystem/cardano-africa-bootcamp-enabling-africans-build-on-cardano" TargetMode="External"/><Relationship Id="rId401" Type="http://schemas.openxmlformats.org/officeDocument/2006/relationships/hyperlink" Target="https://projectcatalyst.io/funds/14/cardano-open-ecosystem/cardano-local-heroes-adoption-through-trusted-leaders" TargetMode="External"/><Relationship Id="rId408" Type="http://schemas.openxmlformats.org/officeDocument/2006/relationships/hyperlink" Target="https://projectcatalyst.io/funds/14/cardano-open-ecosystem/cardano-catalyst-east-africa-project-tracker" TargetMode="External"/><Relationship Id="rId407" Type="http://schemas.openxmlformats.org/officeDocument/2006/relationships/hyperlink" Target="https://projectcatalyst.io/funds/14/cardano-open-ecosystem/empowering-tvet-students-with-cardano-skills" TargetMode="External"/><Relationship Id="rId406" Type="http://schemas.openxmlformats.org/officeDocument/2006/relationships/hyperlink" Target="https://projectcatalyst.io/funds/14/cardano-open-ecosystem/cardano-cardanos-official-voice-of-the-nation" TargetMode="External"/><Relationship Id="rId405" Type="http://schemas.openxmlformats.org/officeDocument/2006/relationships/hyperlink" Target="https://projectcatalyst.io/funds/14/cardano-open-ecosystem/beyond-the-chain-opening-africas-doors-to-cardano" TargetMode="External"/><Relationship Id="rId26" Type="http://schemas.openxmlformats.org/officeDocument/2006/relationships/hyperlink" Target="https://projectcatalyst.io/funds/14/cardano-open-ecosystem/amplify-cardano-community-led-events-by-rare-network" TargetMode="External"/><Relationship Id="rId25" Type="http://schemas.openxmlformats.org/officeDocument/2006/relationships/hyperlink" Target="https://projectcatalyst.io/funds/14/cardano-open-ecosystem/catalyst-funded-cardano-startup-booths-at-rare-evo-2026" TargetMode="External"/><Relationship Id="rId28" Type="http://schemas.openxmlformats.org/officeDocument/2006/relationships/hyperlink" Target="https://projectcatalyst.io/funds/14/cardano-open-ecosystem/prisma-argentina-action-learning-journey" TargetMode="External"/><Relationship Id="rId27" Type="http://schemas.openxmlformats.org/officeDocument/2006/relationships/hyperlink" Target="https://projectcatalyst.io/funds/14/cardano-open-ecosystem/vietnam-unitour-cardano-growth-in-uni-and-student-onboarding" TargetMode="External"/><Relationship Id="rId400" Type="http://schemas.openxmlformats.org/officeDocument/2006/relationships/hyperlink" Target="https://projectcatalyst.io/funds/14/cardano-open-ecosystem/cardano-childrens-books-in-amharic-and-oromifa" TargetMode="External"/><Relationship Id="rId29" Type="http://schemas.openxmlformats.org/officeDocument/2006/relationships/hyperlink" Target="https://projectcatalyst.io/funds/14/cardano-open-ecosystem/aladin-building-a-freelancer-community-for-cardano" TargetMode="External"/><Relationship Id="rId11" Type="http://schemas.openxmlformats.org/officeDocument/2006/relationships/hyperlink" Target="https://projectcatalyst.io/funds/14/cardano-open-ecosystem/cardano-japan-hub-restart" TargetMode="External"/><Relationship Id="rId10" Type="http://schemas.openxmlformats.org/officeDocument/2006/relationships/hyperlink" Target="https://projectcatalyst.io/funds/14/cardano-open-ecosystem/community-cip-editor-robert-phair-6-month-budget" TargetMode="External"/><Relationship Id="rId13" Type="http://schemas.openxmlformats.org/officeDocument/2006/relationships/hyperlink" Target="https://projectcatalyst.io/funds/14/cardano-open-ecosystem/indiacodex-26-indias-largest-cardano-hackathon" TargetMode="External"/><Relationship Id="rId12" Type="http://schemas.openxmlformats.org/officeDocument/2006/relationships/hyperlink" Target="https://projectcatalyst.io/funds/14/cardano-open-ecosystem/an-all-in-one-platform-for-the-korean-cardano-community" TargetMode="External"/><Relationship Id="rId15" Type="http://schemas.openxmlformats.org/officeDocument/2006/relationships/hyperlink" Target="https://projectcatalyst.io/funds/14/cardano-open-ecosystem/c2vn-hydra-on-cardano-complete-step-by-step-dapp-guide" TargetMode="External"/><Relationship Id="rId14" Type="http://schemas.openxmlformats.org/officeDocument/2006/relationships/hyperlink" Target="https://projectcatalyst.io/funds/14/cardano-open-ecosystem/sickcity-artist-onboarding-drive" TargetMode="External"/><Relationship Id="rId17" Type="http://schemas.openxmlformats.org/officeDocument/2006/relationships/hyperlink" Target="https://projectcatalyst.io/funds/14/cardano-open-ecosystem/university-forum-in-argentina-powered-by-cardano" TargetMode="External"/><Relationship Id="rId16" Type="http://schemas.openxmlformats.org/officeDocument/2006/relationships/hyperlink" Target="https://projectcatalyst.io/funds/14/cardano-open-ecosystem/cardano-vietnam-national-blockchain-outreach-2026" TargetMode="External"/><Relationship Id="rId19" Type="http://schemas.openxmlformats.org/officeDocument/2006/relationships/hyperlink" Target="https://projectcatalyst.io/funds/14/cardano-open-ecosystem/smart-content-grassroots-growth-for-a-stronger-cardano" TargetMode="External"/><Relationship Id="rId18" Type="http://schemas.openxmlformats.org/officeDocument/2006/relationships/hyperlink" Target="https://projectcatalyst.io/funds/14/cardano-open-ecosystem/amplify-cardano-community-led-marketing-by-rare-network" TargetMode="External"/><Relationship Id="rId84" Type="http://schemas.openxmlformats.org/officeDocument/2006/relationships/hyperlink" Target="https://projectcatalyst.io/funds/14/cardano-open-ecosystem/cexplorer-cardano-project-mentorship-and-accelerator" TargetMode="External"/><Relationship Id="rId83" Type="http://schemas.openxmlformats.org/officeDocument/2006/relationships/hyperlink" Target="https://projectcatalyst.io/funds/14/cardano-open-ecosystem/sanchonet-education-network-governance-resources" TargetMode="External"/><Relationship Id="rId86" Type="http://schemas.openxmlformats.org/officeDocument/2006/relationships/hyperlink" Target="https://projectcatalyst.io/funds/14/cardano-open-ecosystem/blockchain4good-summit-gateway-to-unngos-for-cardano-dapps" TargetMode="External"/><Relationship Id="rId85" Type="http://schemas.openxmlformats.org/officeDocument/2006/relationships/hyperlink" Target="https://projectcatalyst.io/funds/14/cardano-open-ecosystem/crypto-confidence-a-motivational-series-in-amharic" TargetMode="External"/><Relationship Id="rId88" Type="http://schemas.openxmlformats.org/officeDocument/2006/relationships/hyperlink" Target="https://projectcatalyst.io/funds/14/cardano-open-ecosystem/catalyst-start-up-incubation" TargetMode="External"/><Relationship Id="rId87" Type="http://schemas.openxmlformats.org/officeDocument/2006/relationships/hyperlink" Target="https://projectcatalyst.io/funds/14/cardano-open-ecosystem/learn-and-build-high-speed-gamefi-with-hydra" TargetMode="External"/><Relationship Id="rId89" Type="http://schemas.openxmlformats.org/officeDocument/2006/relationships/hyperlink" Target="https://projectcatalyst.io/funds/14/cardano-open-ecosystem/cardano-medical-initiative-blockchain-healthcare-solutions" TargetMode="External"/><Relationship Id="rId80" Type="http://schemas.openxmlformats.org/officeDocument/2006/relationships/hyperlink" Target="https://projectcatalyst.io/funds/14/cardano-open-ecosystem/cardano-connect-dubai-mastering-and-community-growth" TargetMode="External"/><Relationship Id="rId82" Type="http://schemas.openxmlformats.org/officeDocument/2006/relationships/hyperlink" Target="https://projectcatalyst.io/funds/14/cardano-open-ecosystem/cardanobuild-v2-upgrade-including-genai-integration" TargetMode="External"/><Relationship Id="rId81" Type="http://schemas.openxmlformats.org/officeDocument/2006/relationships/hyperlink" Target="https://projectcatalyst.io/funds/14/cardano-open-ecosystem/gini-german-industry-innovation-event-series" TargetMode="External"/><Relationship Id="rId73" Type="http://schemas.openxmlformats.org/officeDocument/2006/relationships/hyperlink" Target="https://projectcatalyst.io/funds/14/cardano-open-ecosystem/alba-cardano-u-labs-chile-mexico-pilot-for-node-ops-and-dapps" TargetMode="External"/><Relationship Id="rId72" Type="http://schemas.openxmlformats.org/officeDocument/2006/relationships/hyperlink" Target="https://projectcatalyst.io/funds/14/cardano-open-ecosystem/global-cardano-community-irl-event-for-education-and-adoption" TargetMode="External"/><Relationship Id="rId75" Type="http://schemas.openxmlformats.org/officeDocument/2006/relationships/hyperlink" Target="https://projectcatalyst.io/funds/14/cardano-open-ecosystem/cafi-peer-reviewed-research-paper-library-in-vietnamese" TargetMode="External"/><Relationship Id="rId74" Type="http://schemas.openxmlformats.org/officeDocument/2006/relationships/hyperlink" Target="https://projectcatalyst.io/funds/14/cardano-open-ecosystem/project-catalyst-mentorship-bureau" TargetMode="External"/><Relationship Id="rId77" Type="http://schemas.openxmlformats.org/officeDocument/2006/relationships/hyperlink" Target="https://projectcatalyst.io/funds/14/cardano-open-ecosystem/cardano-real-world-impact-india-blockchain-week-side-event" TargetMode="External"/><Relationship Id="rId76" Type="http://schemas.openxmlformats.org/officeDocument/2006/relationships/hyperlink" Target="https://projectcatalyst.io/funds/14/cardano-open-ecosystem/cardano-for-the-maustralsses-translation-into-russian" TargetMode="External"/><Relationship Id="rId79" Type="http://schemas.openxmlformats.org/officeDocument/2006/relationships/hyperlink" Target="https://projectcatalyst.io/funds/14/cardano-open-ecosystem/catalyst-bootcamps-4-inclusion" TargetMode="External"/><Relationship Id="rId78" Type="http://schemas.openxmlformats.org/officeDocument/2006/relationships/hyperlink" Target="https://projectcatalyst.io/funds/14/cardano-open-ecosystem/the-bitcoin-family-x-oli-bridging-bitcoin-to-cardano" TargetMode="External"/><Relationship Id="rId71" Type="http://schemas.openxmlformats.org/officeDocument/2006/relationships/hyperlink" Target="https://projectcatalyst.io/funds/14/cardano-open-ecosystem/greenstore-edu-sustainabe-digital-storage-for-institutions" TargetMode="External"/><Relationship Id="rId70" Type="http://schemas.openxmlformats.org/officeDocument/2006/relationships/hyperlink" Target="https://projectcatalyst.io/funds/14/cardano-open-ecosystem/fimi-bring-cardano-videos-to-vietnamese" TargetMode="External"/><Relationship Id="rId62" Type="http://schemas.openxmlformats.org/officeDocument/2006/relationships/hyperlink" Target="https://projectcatalyst.io/funds/14/cardano-open-ecosystem/free-tier-for-small-spos-fully-managed-spo-service" TargetMode="External"/><Relationship Id="rId61" Type="http://schemas.openxmlformats.org/officeDocument/2006/relationships/hyperlink" Target="https://projectcatalyst.io/funds/14/cardano-open-ecosystem/from-beginner-to-pro-cardano-developer-101-and-201-series" TargetMode="External"/><Relationship Id="rId64" Type="http://schemas.openxmlformats.org/officeDocument/2006/relationships/hyperlink" Target="https://projectcatalyst.io/funds/14/cardano-open-ecosystem/cardano-educational-hub-at-hawassa-university" TargetMode="External"/><Relationship Id="rId63" Type="http://schemas.openxmlformats.org/officeDocument/2006/relationships/hyperlink" Target="https://projectcatalyst.io/funds/14/cardano-open-ecosystem/zk-bootcamp-for-cardano-by-eryx" TargetMode="External"/><Relationship Id="rId66" Type="http://schemas.openxmlformats.org/officeDocument/2006/relationships/hyperlink" Target="https://projectcatalyst.io/funds/14/cardano-open-ecosystem/drep-voting-power-saturation-research" TargetMode="External"/><Relationship Id="rId65" Type="http://schemas.openxmlformats.org/officeDocument/2006/relationships/hyperlink" Target="https://projectcatalyst.io/funds/14/cardano-open-ecosystem/fimi-podcast-cardano-on-telegram-for-vietnamese" TargetMode="External"/><Relationship Id="rId68" Type="http://schemas.openxmlformats.org/officeDocument/2006/relationships/hyperlink" Target="https://projectcatalyst.io/funds/14/cardano-open-ecosystem/all-in-one-haskell-learning-platform" TargetMode="External"/><Relationship Id="rId67" Type="http://schemas.openxmlformats.org/officeDocument/2006/relationships/hyperlink" Target="https://projectcatalyst.io/funds/14/cardano-open-ecosystem/sustainability-blockchain-initiative-cardano-for-esg" TargetMode="External"/><Relationship Id="rId60" Type="http://schemas.openxmlformats.org/officeDocument/2006/relationships/hyperlink" Target="https://projectcatalyst.io/funds/14/cardano-open-ecosystem/cafinet-cardano-and-midnight-the-privacy-revolution" TargetMode="External"/><Relationship Id="rId69" Type="http://schemas.openxmlformats.org/officeDocument/2006/relationships/hyperlink" Target="https://projectcatalyst.io/funds/14/cardano-open-ecosystem/i-can-plutus-beginner-to-pro-smart-contract-education" TargetMode="External"/><Relationship Id="rId51" Type="http://schemas.openxmlformats.org/officeDocument/2006/relationships/hyperlink" Target="https://projectcatalyst.io/funds/14/cardano-open-ecosystem/cardano-defi-made-simple-open-video-series-and-learning-hub" TargetMode="External"/><Relationship Id="rId50" Type="http://schemas.openxmlformats.org/officeDocument/2006/relationships/hyperlink" Target="https://projectcatalyst.io/funds/14/cardano-open-ecosystem/fimi-cardano-talk-for-vietnamese" TargetMode="External"/><Relationship Id="rId53" Type="http://schemas.openxmlformats.org/officeDocument/2006/relationships/hyperlink" Target="https://projectcatalyst.io/funds/14/cardano-open-ecosystem/enterprise-support-for-cardano-adoption-storm-partners" TargetMode="External"/><Relationship Id="rId52" Type="http://schemas.openxmlformats.org/officeDocument/2006/relationships/hyperlink" Target="https://projectcatalyst.io/funds/14/cardano-open-ecosystem/drep-online-training" TargetMode="External"/><Relationship Id="rId55" Type="http://schemas.openxmlformats.org/officeDocument/2006/relationships/hyperlink" Target="https://projectcatalyst.io/funds/14/cardano-open-ecosystem/electronics-and-sensors-blockchain-integration-program" TargetMode="External"/><Relationship Id="rId54" Type="http://schemas.openxmlformats.org/officeDocument/2006/relationships/hyperlink" Target="https://projectcatalyst.io/funds/14/cardano-open-ecosystem/c2vn-cardano-blockchain-online-programming-course" TargetMode="External"/><Relationship Id="rId57" Type="http://schemas.openxmlformats.org/officeDocument/2006/relationships/hyperlink" Target="https://projectcatalyst.io/funds/14/cardano-open-ecosystem/gimbalabs-regional-cardano-student-society-playbook" TargetMode="External"/><Relationship Id="rId56" Type="http://schemas.openxmlformats.org/officeDocument/2006/relationships/hyperlink" Target="https://projectcatalyst.io/funds/14/cardano-open-ecosystem/cardano-railway-initiative-blockchain-railway-solution" TargetMode="External"/><Relationship Id="rId59" Type="http://schemas.openxmlformats.org/officeDocument/2006/relationships/hyperlink" Target="https://projectcatalyst.io/funds/14/cardano-open-ecosystem/alba-network-cardanos-bridge-to-latam-academia" TargetMode="External"/><Relationship Id="rId58" Type="http://schemas.openxmlformats.org/officeDocument/2006/relationships/hyperlink" Target="https://projectcatalyst.io/funds/14/cardano-open-ecosystem/bitcoin-defi-education-for-cardano-on-andamio-platform" TargetMode="External"/><Relationship Id="rId107" Type="http://schemas.openxmlformats.org/officeDocument/2006/relationships/hyperlink" Target="https://projectcatalyst.io/funds/14/cardano-open-ecosystem/cardano-creators-contest-building-global-ambassador-network" TargetMode="External"/><Relationship Id="rId228" Type="http://schemas.openxmlformats.org/officeDocument/2006/relationships/hyperlink" Target="https://projectcatalyst.io/funds/14/cardano-open-ecosystem/multilingual-cardano-education-for-ethiopia" TargetMode="External"/><Relationship Id="rId349" Type="http://schemas.openxmlformats.org/officeDocument/2006/relationships/hyperlink" Target="https://projectcatalyst.io/funds/14/cardano-open-ecosystem/build-on-cardano-desci-amplified-aikenandtx3-bootcamp" TargetMode="External"/><Relationship Id="rId106" Type="http://schemas.openxmlformats.org/officeDocument/2006/relationships/hyperlink" Target="https://projectcatalyst.io/funds/14/cardano-open-ecosystem/cardano-content-creators-agency-bridging-gap-with-projects" TargetMode="External"/><Relationship Id="rId227" Type="http://schemas.openxmlformats.org/officeDocument/2006/relationships/hyperlink" Target="https://projectcatalyst.io/funds/14/cardano-open-ecosystem/decentralized-finance-course-for-beginners" TargetMode="External"/><Relationship Id="rId348" Type="http://schemas.openxmlformats.org/officeDocument/2006/relationships/hyperlink" Target="https://projectcatalyst.io/funds/14/cardano-open-ecosystem/cardano-infodesk-bringing-blockchain-to-the-streets" TargetMode="External"/><Relationship Id="rId105" Type="http://schemas.openxmlformats.org/officeDocument/2006/relationships/hyperlink" Target="https://projectcatalyst.io/funds/14/cardano-open-ecosystem/mcu-cardano-defi-workshop-2026-learning-liqwid-finance" TargetMode="External"/><Relationship Id="rId226" Type="http://schemas.openxmlformats.org/officeDocument/2006/relationships/hyperlink" Target="https://projectcatalyst.io/funds/14/cardano-open-ecosystem/cardano-daily-news-in-portuguese-by-govchaiblab" TargetMode="External"/><Relationship Id="rId347" Type="http://schemas.openxmlformats.org/officeDocument/2006/relationships/hyperlink" Target="https://projectcatalyst.io/funds/14/cardano-open-ecosystem/cardano-women-ambassadors-ethiopias-500-digital-marketers" TargetMode="External"/><Relationship Id="rId104" Type="http://schemas.openxmlformats.org/officeDocument/2006/relationships/hyperlink" Target="https://projectcatalyst.io/funds/14/cardano-open-ecosystem/startup-accelerator-for-cardano-based-projects" TargetMode="External"/><Relationship Id="rId225" Type="http://schemas.openxmlformats.org/officeDocument/2006/relationships/hyperlink" Target="https://projectcatalyst.io/funds/14/cardano-open-ecosystem/cardano-onbording-for-10000-uopeople-students" TargetMode="External"/><Relationship Id="rId346" Type="http://schemas.openxmlformats.org/officeDocument/2006/relationships/hyperlink" Target="https://projectcatalyst.io/funds/14/cardano-open-ecosystem/cardano-memecoin-community-event" TargetMode="External"/><Relationship Id="rId109" Type="http://schemas.openxmlformats.org/officeDocument/2006/relationships/hyperlink" Target="https://projectcatalyst.io/funds/14/cardano-open-ecosystem/cafi-mastering-cardano-vietnamese-edition" TargetMode="External"/><Relationship Id="rId108" Type="http://schemas.openxmlformats.org/officeDocument/2006/relationships/hyperlink" Target="https://projectcatalyst.io/funds/14/cardano-open-ecosystem/cardano-catalyst-and-health-talk-for-the-aged-in-accra" TargetMode="External"/><Relationship Id="rId229" Type="http://schemas.openxmlformats.org/officeDocument/2006/relationships/hyperlink" Target="https://projectcatalyst.io/funds/14/cardano-open-ecosystem/cardano-a-z-open-web-glossary-for-everyone" TargetMode="External"/><Relationship Id="rId220" Type="http://schemas.openxmlformats.org/officeDocument/2006/relationships/hyperlink" Target="https://projectcatalyst.io/funds/14/cardano-open-ecosystem/cardano-breakthrough-east-african-6-city-hackathon" TargetMode="External"/><Relationship Id="rId341" Type="http://schemas.openxmlformats.org/officeDocument/2006/relationships/hyperlink" Target="https://projectcatalyst.io/funds/14/cardano-open-ecosystem/chaintales-cardano-comics-and-youtube-in-amharic-and-english" TargetMode="External"/><Relationship Id="rId340" Type="http://schemas.openxmlformats.org/officeDocument/2006/relationships/hyperlink" Target="https://projectcatalyst.io/funds/14/cardano-open-ecosystem/cafinet-cardano-unveiled-the-mindmap-journey" TargetMode="External"/><Relationship Id="rId103" Type="http://schemas.openxmlformats.org/officeDocument/2006/relationships/hyperlink" Target="https://projectcatalyst.io/funds/14/cardano-open-ecosystem/cardano-qr-code-hunt-gamified-learning" TargetMode="External"/><Relationship Id="rId224" Type="http://schemas.openxmlformats.org/officeDocument/2006/relationships/hyperlink" Target="https://projectcatalyst.io/funds/14/cardano-open-ecosystem/cafi-cardano-news-digest-phase-2" TargetMode="External"/><Relationship Id="rId345" Type="http://schemas.openxmlformats.org/officeDocument/2006/relationships/hyperlink" Target="https://projectcatalyst.io/funds/14/cardano-open-ecosystem/womens-blockchain-hackathon-ecuador" TargetMode="External"/><Relationship Id="rId102" Type="http://schemas.openxmlformats.org/officeDocument/2006/relationships/hyperlink" Target="https://projectcatalyst.io/funds/14/cardano-open-ecosystem/aiken-smart-contract-developer-experience-workshop-series" TargetMode="External"/><Relationship Id="rId223" Type="http://schemas.openxmlformats.org/officeDocument/2006/relationships/hyperlink" Target="https://projectcatalyst.io/funds/14/cardano-open-ecosystem/ride-the-future-promoting-cardano-through-motion-and-media" TargetMode="External"/><Relationship Id="rId344" Type="http://schemas.openxmlformats.org/officeDocument/2006/relationships/hyperlink" Target="https://projectcatalyst.io/funds/14/cardano-open-ecosystem/5pc-cardano-education-short-video-viral" TargetMode="External"/><Relationship Id="rId101" Type="http://schemas.openxmlformats.org/officeDocument/2006/relationships/hyperlink" Target="https://projectcatalyst.io/funds/14/cardano-open-ecosystem/comprehensive-course-on-cardano-node-infrastructure" TargetMode="External"/><Relationship Id="rId222" Type="http://schemas.openxmlformats.org/officeDocument/2006/relationships/hyperlink" Target="https://projectcatalyst.io/funds/14/cardano-open-ecosystem/cardano-green-legacy-in-ethiopia-and-kenya" TargetMode="External"/><Relationship Id="rId343" Type="http://schemas.openxmlformats.org/officeDocument/2006/relationships/hyperlink" Target="https://projectcatalyst.io/funds/14/cardano-open-ecosystem/aya-decentralized-ecosystem-for-african-female-athletes" TargetMode="External"/><Relationship Id="rId100" Type="http://schemas.openxmlformats.org/officeDocument/2006/relationships/hyperlink" Target="https://projectcatalyst.io/funds/14/cardano-open-ecosystem/gtm-acceleration-for-cardano-builders-storm-partners" TargetMode="External"/><Relationship Id="rId221" Type="http://schemas.openxmlformats.org/officeDocument/2006/relationships/hyperlink" Target="https://projectcatalyst.io/funds/14/cardano-open-ecosystem/corporate-promotion-of-cardano" TargetMode="External"/><Relationship Id="rId342" Type="http://schemas.openxmlformats.org/officeDocument/2006/relationships/hyperlink" Target="https://projectcatalyst.io/funds/14/cardano-open-ecosystem/cardano-startup-intelligence-program-storm-partners" TargetMode="External"/><Relationship Id="rId217" Type="http://schemas.openxmlformats.org/officeDocument/2006/relationships/hyperlink" Target="https://projectcatalyst.io/funds/14/cardano-open-ecosystem/francophone-access-to-cardano-through-education" TargetMode="External"/><Relationship Id="rId338" Type="http://schemas.openxmlformats.org/officeDocument/2006/relationships/hyperlink" Target="https://projectcatalyst.io/funds/14/cardano-open-ecosystem/cardano-new-world-leaders-for-decision-makers" TargetMode="External"/><Relationship Id="rId216" Type="http://schemas.openxmlformats.org/officeDocument/2006/relationships/hyperlink" Target="https://projectcatalyst.io/funds/14/cardano-open-ecosystem/latam-cardano-community-operations" TargetMode="External"/><Relationship Id="rId337" Type="http://schemas.openxmlformats.org/officeDocument/2006/relationships/hyperlink" Target="https://projectcatalyst.io/funds/14/cardano-open-ecosystem/cardano-africa-developer-bootcamp-and-hackathon-program" TargetMode="External"/><Relationship Id="rId215" Type="http://schemas.openxmlformats.org/officeDocument/2006/relationships/hyperlink" Target="https://projectcatalyst.io/funds/14/cardano-open-ecosystem/blockchain-101-university-workshop-series-vietnam" TargetMode="External"/><Relationship Id="rId336" Type="http://schemas.openxmlformats.org/officeDocument/2006/relationships/hyperlink" Target="https://projectcatalyst.io/funds/14/cardano-open-ecosystem/desci-cardano-symposium" TargetMode="External"/><Relationship Id="rId214" Type="http://schemas.openxmlformats.org/officeDocument/2006/relationships/hyperlink" Target="https://projectcatalyst.io/funds/14/cardano-open-ecosystem/advanced-milestone-reviewer-course-led-by-program-veterans" TargetMode="External"/><Relationship Id="rId335" Type="http://schemas.openxmlformats.org/officeDocument/2006/relationships/hyperlink" Target="https://projectcatalyst.io/funds/14/cardano-open-ecosystem/cardano-and-blockchain-for-east-african-farmers" TargetMode="External"/><Relationship Id="rId219" Type="http://schemas.openxmlformats.org/officeDocument/2006/relationships/hyperlink" Target="https://projectcatalyst.io/funds/14/cardano-open-ecosystem/jellylabs-incubating-and-accelerating-cardano-projects" TargetMode="External"/><Relationship Id="rId218" Type="http://schemas.openxmlformats.org/officeDocument/2006/relationships/hyperlink" Target="https://projectcatalyst.io/funds/14/cardano-open-ecosystem/hub-cardano-in-brazil-operations-by-govchainlab" TargetMode="External"/><Relationship Id="rId339" Type="http://schemas.openxmlformats.org/officeDocument/2006/relationships/hyperlink" Target="https://projectcatalyst.io/funds/14/cardano-open-ecosystem/cardano-savoirs-afrique" TargetMode="External"/><Relationship Id="rId330" Type="http://schemas.openxmlformats.org/officeDocument/2006/relationships/hyperlink" Target="https://projectcatalyst.io/funds/14/cardano-open-ecosystem/ideathon-for-cardano-based-projects-by-hosken-academy" TargetMode="External"/><Relationship Id="rId451" Type="http://schemas.openxmlformats.org/officeDocument/2006/relationships/drawing" Target="../drawings/drawing5.xml"/><Relationship Id="rId450" Type="http://schemas.openxmlformats.org/officeDocument/2006/relationships/hyperlink" Target="https://projectcatalyst.io/funds/14/cardano-open-ecosystem/legal-compliance-indonesia-by-cwi" TargetMode="External"/><Relationship Id="rId213" Type="http://schemas.openxmlformats.org/officeDocument/2006/relationships/hyperlink" Target="https://projectcatalyst.io/funds/14/cardano-open-ecosystem/cardano-defi-use-cases-and-success-stories-pr-campaign" TargetMode="External"/><Relationship Id="rId334" Type="http://schemas.openxmlformats.org/officeDocument/2006/relationships/hyperlink" Target="https://projectcatalyst.io/funds/14/cardano-open-ecosystem/innotion-labs-south-america-edition" TargetMode="External"/><Relationship Id="rId212" Type="http://schemas.openxmlformats.org/officeDocument/2006/relationships/hyperlink" Target="https://projectcatalyst.io/funds/14/cardano-open-ecosystem/regenerative-cardano-bootcamp-for-latin-america" TargetMode="External"/><Relationship Id="rId333" Type="http://schemas.openxmlformats.org/officeDocument/2006/relationships/hyperlink" Target="https://projectcatalyst.io/funds/14/cardano-open-ecosystem/cardano-for-erasmus-students-awareness-campaign" TargetMode="External"/><Relationship Id="rId211" Type="http://schemas.openxmlformats.org/officeDocument/2006/relationships/hyperlink" Target="https://projectcatalyst.io/funds/14/cardano-open-ecosystem/onboarding-filipinos-to-cardano-education-and-activation" TargetMode="External"/><Relationship Id="rId332" Type="http://schemas.openxmlformats.org/officeDocument/2006/relationships/hyperlink" Target="https://projectcatalyst.io/funds/14/cardano-open-ecosystem/university-workshops-for-making-payments-with-cardano" TargetMode="External"/><Relationship Id="rId210" Type="http://schemas.openxmlformats.org/officeDocument/2006/relationships/hyperlink" Target="https://projectcatalyst.io/funds/14/cardano-open-ecosystem/kwarxs-pres-blockxbangkok-the-cardano-community-fusion" TargetMode="External"/><Relationship Id="rId331" Type="http://schemas.openxmlformats.org/officeDocument/2006/relationships/hyperlink" Target="https://projectcatalyst.io/funds/14/cardano-open-ecosystem/green-future-youth-gardening-and-cardano-education" TargetMode="External"/><Relationship Id="rId370" Type="http://schemas.openxmlformats.org/officeDocument/2006/relationships/hyperlink" Target="https://projectcatalyst.io/funds/14/cardano-open-ecosystem/ama-with-cross-chain-communities-ii" TargetMode="External"/><Relationship Id="rId129" Type="http://schemas.openxmlformats.org/officeDocument/2006/relationships/hyperlink" Target="https://projectcatalyst.io/funds/14/cardano-open-ecosystem/carbon-footprint-with-cardano-teambuilding-corporate" TargetMode="External"/><Relationship Id="rId128" Type="http://schemas.openxmlformats.org/officeDocument/2006/relationships/hyperlink" Target="https://projectcatalyst.io/funds/14/cardano-open-ecosystem/cardano-meme-machine-ai-generated-meme-video-campaign" TargetMode="External"/><Relationship Id="rId249" Type="http://schemas.openxmlformats.org/officeDocument/2006/relationships/hyperlink" Target="https://projectcatalyst.io/funds/14/cardano-open-ecosystem/cardano-first-steps-in-nyiragongoeducation-and-mobile-money" TargetMode="External"/><Relationship Id="rId127" Type="http://schemas.openxmlformats.org/officeDocument/2006/relationships/hyperlink" Target="https://projectcatalyst.io/funds/14/cardano-open-ecosystem/casia-cardano-asia-1-cardano-only-tiktok-channel-no-ai" TargetMode="External"/><Relationship Id="rId248" Type="http://schemas.openxmlformats.org/officeDocument/2006/relationships/hyperlink" Target="https://projectcatalyst.io/funds/14/cardano-open-ecosystem/community-code-review-season-2" TargetMode="External"/><Relationship Id="rId369" Type="http://schemas.openxmlformats.org/officeDocument/2006/relationships/hyperlink" Target="https://projectcatalyst.io/funds/14/cardano-open-ecosystem/cardano-youth-lab-from-classroom-to-blockchain" TargetMode="External"/><Relationship Id="rId126" Type="http://schemas.openxmlformats.org/officeDocument/2006/relationships/hyperlink" Target="https://projectcatalyst.io/funds/14/cardano-open-ecosystem/daily-x-and-youtube-marketing-by-angry-crypto-show" TargetMode="External"/><Relationship Id="rId247" Type="http://schemas.openxmlformats.org/officeDocument/2006/relationships/hyperlink" Target="https://projectcatalyst.io/funds/14/cardano-open-ecosystem/cardano-policy-paper-unlocking-latams-path-to-adoption" TargetMode="External"/><Relationship Id="rId368" Type="http://schemas.openxmlformats.org/officeDocument/2006/relationships/hyperlink" Target="https://projectcatalyst.io/funds/14/cardano-open-ecosystem/cardano-community-hub-and-education-initiative-in-ethiopia" TargetMode="External"/><Relationship Id="rId121" Type="http://schemas.openxmlformats.org/officeDocument/2006/relationships/hyperlink" Target="https://projectcatalyst.io/funds/14/cardano-open-ecosystem/empowering-teenage-girls-into-blockchain-with-cadrano" TargetMode="External"/><Relationship Id="rId242" Type="http://schemas.openxmlformats.org/officeDocument/2006/relationships/hyperlink" Target="https://projectcatalyst.io/funds/14/cardano-open-ecosystem/5pccatalyst-in-motion-viral-tiktok-education" TargetMode="External"/><Relationship Id="rId363" Type="http://schemas.openxmlformats.org/officeDocument/2006/relationships/hyperlink" Target="https://projectcatalyst.io/funds/14/cardano-open-ecosystem/legal-compliance-toolkit-and-training-for-ethiopian-cardano" TargetMode="External"/><Relationship Id="rId120" Type="http://schemas.openxmlformats.org/officeDocument/2006/relationships/hyperlink" Target="https://projectcatalyst.io/funds/14/cardano-open-ecosystem/vietnam-cardano-developer-boot-camp-and-hackathon-2025" TargetMode="External"/><Relationship Id="rId241" Type="http://schemas.openxmlformats.org/officeDocument/2006/relationships/hyperlink" Target="https://projectcatalyst.io/funds/14/cardano-open-ecosystem/ctimelines-infographics-promoting-cardanos-history" TargetMode="External"/><Relationship Id="rId362" Type="http://schemas.openxmlformats.org/officeDocument/2006/relationships/hyperlink" Target="https://projectcatalyst.io/funds/14/cardano-open-ecosystem/afrochain-2025-unlocking-africas-onchain-future" TargetMode="External"/><Relationship Id="rId240" Type="http://schemas.openxmlformats.org/officeDocument/2006/relationships/hyperlink" Target="https://projectcatalyst.io/funds/14/cardano-open-ecosystem/launch-and-showcase-6-replicable-models-to-scale-cardano" TargetMode="External"/><Relationship Id="rId361" Type="http://schemas.openxmlformats.org/officeDocument/2006/relationships/hyperlink" Target="https://projectcatalyst.io/funds/14/cardano-open-ecosystem/ada-for-the-people-cardano-awareness-in-ethiopia" TargetMode="External"/><Relationship Id="rId360" Type="http://schemas.openxmlformats.org/officeDocument/2006/relationships/hyperlink" Target="https://projectcatalyst.io/funds/14/cardano-open-ecosystem/product-compass-a-project-managers-best-friend" TargetMode="External"/><Relationship Id="rId125" Type="http://schemas.openxmlformats.org/officeDocument/2006/relationships/hyperlink" Target="https://projectcatalyst.io/funds/14/cardano-open-ecosystem/5pc-cardano-and-other-blockchains-a-friendly-layer-1-guide" TargetMode="External"/><Relationship Id="rId246" Type="http://schemas.openxmlformats.org/officeDocument/2006/relationships/hyperlink" Target="https://projectcatalyst.io/funds/14/cardano-open-ecosystem/azteca-hackathon-in-latam-first-edition" TargetMode="External"/><Relationship Id="rId367" Type="http://schemas.openxmlformats.org/officeDocument/2006/relationships/hyperlink" Target="https://projectcatalyst.io/funds/14/cardano-open-ecosystem/cardano-ethiopia-language-and-compliance-access" TargetMode="External"/><Relationship Id="rId124" Type="http://schemas.openxmlformats.org/officeDocument/2006/relationships/hyperlink" Target="https://projectcatalyst.io/funds/14/cardano-open-ecosystem/cardano-nft-fest-indigenous-art-meets-blockchain-innovation" TargetMode="External"/><Relationship Id="rId245" Type="http://schemas.openxmlformats.org/officeDocument/2006/relationships/hyperlink" Target="https://projectcatalyst.io/funds/14/cardano-open-ecosystem/unlocking-cardano-in-kenya-student-innovation-hackathon" TargetMode="External"/><Relationship Id="rId366" Type="http://schemas.openxmlformats.org/officeDocument/2006/relationships/hyperlink" Target="https://projectcatalyst.io/funds/14/cardano-open-ecosystem/rebuilding-lives-on-chain-cardano-for-tigray-recovery" TargetMode="External"/><Relationship Id="rId123" Type="http://schemas.openxmlformats.org/officeDocument/2006/relationships/hyperlink" Target="https://projectcatalyst.io/funds/14/cardano-open-ecosystem/cardano-in-amharic-ethiopias-first-blockchain-media-hub" TargetMode="External"/><Relationship Id="rId244" Type="http://schemas.openxmlformats.org/officeDocument/2006/relationships/hyperlink" Target="https://projectcatalyst.io/funds/14/cardano-open-ecosystem/cardano-awareness-campaign-in-ethiopia" TargetMode="External"/><Relationship Id="rId365" Type="http://schemas.openxmlformats.org/officeDocument/2006/relationships/hyperlink" Target="https://projectcatalyst.io/funds/14/cardano-open-ecosystem/drill-and-deploy-military-style-gamified-onboarding-bootcamp" TargetMode="External"/><Relationship Id="rId122" Type="http://schemas.openxmlformats.org/officeDocument/2006/relationships/hyperlink" Target="https://projectcatalyst.io/funds/14/cardano-open-ecosystem/agora-research-bureau-voltaire" TargetMode="External"/><Relationship Id="rId243" Type="http://schemas.openxmlformats.org/officeDocument/2006/relationships/hyperlink" Target="https://projectcatalyst.io/funds/14/cardano-open-ecosystem/cardano-x-fatboykenya-20k-wallets-2-cities-6-days" TargetMode="External"/><Relationship Id="rId364" Type="http://schemas.openxmlformats.org/officeDocument/2006/relationships/hyperlink" Target="https://projectcatalyst.io/funds/14/cardano-open-ecosystem/cardano-skills-academy-in-ghana" TargetMode="External"/><Relationship Id="rId95" Type="http://schemas.openxmlformats.org/officeDocument/2006/relationships/hyperlink" Target="https://projectcatalyst.io/funds/14/cardano-open-ecosystem/100percent-on-chain-legally-binding-agreements-and-smart-contracts" TargetMode="External"/><Relationship Id="rId94" Type="http://schemas.openxmlformats.org/officeDocument/2006/relationships/hyperlink" Target="https://projectcatalyst.io/funds/14/cardano-open-ecosystem/enterprise-events-bd-and-partnerships-storm-partners" TargetMode="External"/><Relationship Id="rId97" Type="http://schemas.openxmlformats.org/officeDocument/2006/relationships/hyperlink" Target="https://projectcatalyst.io/funds/14/cardano-open-ecosystem/cexplorer-cardano-related-high-quality-articles-incl-share" TargetMode="External"/><Relationship Id="rId96" Type="http://schemas.openxmlformats.org/officeDocument/2006/relationships/hyperlink" Target="https://projectcatalyst.io/funds/14/cardano-open-ecosystem/funding-the-commons-driving-realfi-catalyst-submissions" TargetMode="External"/><Relationship Id="rId99" Type="http://schemas.openxmlformats.org/officeDocument/2006/relationships/hyperlink" Target="https://projectcatalyst.io/funds/14/cardano-open-ecosystem/the-great-african-run-powered-by-cardano-blockchain" TargetMode="External"/><Relationship Id="rId98" Type="http://schemas.openxmlformats.org/officeDocument/2006/relationships/hyperlink" Target="https://projectcatalyst.io/funds/14/cardano-open-ecosystem/first-tigrigna-cardano-hub-learn-build-connect-worldwide" TargetMode="External"/><Relationship Id="rId91" Type="http://schemas.openxmlformats.org/officeDocument/2006/relationships/hyperlink" Target="https://projectcatalyst.io/funds/14/cardano-open-ecosystem/5pc-hoskinsons-cardano-journey-educating-the-community" TargetMode="External"/><Relationship Id="rId90" Type="http://schemas.openxmlformats.org/officeDocument/2006/relationships/hyperlink" Target="https://projectcatalyst.io/funds/14/cardano-open-ecosystem/taking-cardano-to-amazon-music-and-google-podcast-platforms" TargetMode="External"/><Relationship Id="rId93" Type="http://schemas.openxmlformats.org/officeDocument/2006/relationships/hyperlink" Target="https://projectcatalyst.io/funds/14/cardano-open-ecosystem/cardano-india-developers-community-hub" TargetMode="External"/><Relationship Id="rId92" Type="http://schemas.openxmlformats.org/officeDocument/2006/relationships/hyperlink" Target="https://projectcatalyst.io/funds/14/cardano-open-ecosystem/research-backed-viral-shorts-to-bust-cardano-myths" TargetMode="External"/><Relationship Id="rId118" Type="http://schemas.openxmlformats.org/officeDocument/2006/relationships/hyperlink" Target="https://projectcatalyst.io/funds/14/cardano-open-ecosystem/blockchain-gateway-ethiopia-cardano-for-all" TargetMode="External"/><Relationship Id="rId239" Type="http://schemas.openxmlformats.org/officeDocument/2006/relationships/hyperlink" Target="https://projectcatalyst.io/funds/14/cardano-open-ecosystem/cardano-enterprise-gtm-toolkit" TargetMode="External"/><Relationship Id="rId117" Type="http://schemas.openxmlformats.org/officeDocument/2006/relationships/hyperlink" Target="https://projectcatalyst.io/funds/14/cardano-open-ecosystem/ada-adoption-challenge-in-sao-paulo" TargetMode="External"/><Relationship Id="rId238" Type="http://schemas.openxmlformats.org/officeDocument/2006/relationships/hyperlink" Target="https://projectcatalyst.io/funds/14/cardano-open-ecosystem/cardano-ethio-africa-hub-at-addis-abebba" TargetMode="External"/><Relationship Id="rId359" Type="http://schemas.openxmlformats.org/officeDocument/2006/relationships/hyperlink" Target="https://projectcatalyst.io/funds/14/cardano-open-ecosystem/the-cardano-knowledge-ark" TargetMode="External"/><Relationship Id="rId116" Type="http://schemas.openxmlformats.org/officeDocument/2006/relationships/hyperlink" Target="https://projectcatalyst.io/funds/14/cardano-open-ecosystem/cardano-student-club-africa-expansion-phase-1" TargetMode="External"/><Relationship Id="rId237" Type="http://schemas.openxmlformats.org/officeDocument/2006/relationships/hyperlink" Target="https://projectcatalyst.io/funds/14/cardano-open-ecosystem/the-ada-song-community-anthem-and-remix-contest-for-cardano" TargetMode="External"/><Relationship Id="rId358" Type="http://schemas.openxmlformats.org/officeDocument/2006/relationships/hyperlink" Target="https://projectcatalyst.io/funds/14/cardano-open-ecosystem/telegram" TargetMode="External"/><Relationship Id="rId115" Type="http://schemas.openxmlformats.org/officeDocument/2006/relationships/hyperlink" Target="https://projectcatalyst.io/funds/14/cardano-open-ecosystem/cardano-dach-region-bd-and-startup-acceleration-program" TargetMode="External"/><Relationship Id="rId236" Type="http://schemas.openxmlformats.org/officeDocument/2006/relationships/hyperlink" Target="https://projectcatalyst.io/funds/14/cardano-open-ecosystem/learns-cardano-expanding-cardano-education-in-vietnamese" TargetMode="External"/><Relationship Id="rId357" Type="http://schemas.openxmlformats.org/officeDocument/2006/relationships/hyperlink" Target="https://projectcatalyst.io/funds/14/cardano-open-ecosystem/know-cardano-a-campus-campaign" TargetMode="External"/><Relationship Id="rId119" Type="http://schemas.openxmlformats.org/officeDocument/2006/relationships/hyperlink" Target="https://projectcatalyst.io/funds/14/cardano-open-ecosystem/cardano-summits-for-university-students-in-ethiopia" TargetMode="External"/><Relationship Id="rId110" Type="http://schemas.openxmlformats.org/officeDocument/2006/relationships/hyperlink" Target="https://projectcatalyst.io/funds/14/cardano-open-ecosystem/cardano-unchained-animated-explainers-for-mass-adoption" TargetMode="External"/><Relationship Id="rId231" Type="http://schemas.openxmlformats.org/officeDocument/2006/relationships/hyperlink" Target="https://projectcatalyst.io/funds/14/cardano-open-ecosystem/asia-is-coming-to-cardano-summit-pukecast-invasion" TargetMode="External"/><Relationship Id="rId352" Type="http://schemas.openxmlformats.org/officeDocument/2006/relationships/hyperlink" Target="https://projectcatalyst.io/funds/14/cardano-open-ecosystem/cardano-governance-indonesia-education" TargetMode="External"/><Relationship Id="rId230" Type="http://schemas.openxmlformats.org/officeDocument/2006/relationships/hyperlink" Target="https://projectcatalyst.io/funds/14/cardano-open-ecosystem/cardanoquest-learn-explore-and-build-on-cardano-easily" TargetMode="External"/><Relationship Id="rId351" Type="http://schemas.openxmlformats.org/officeDocument/2006/relationships/hyperlink" Target="https://projectcatalyst.io/funds/14/cardano-open-ecosystem/cardano-kids-academy" TargetMode="External"/><Relationship Id="rId350" Type="http://schemas.openxmlformats.org/officeDocument/2006/relationships/hyperlink" Target="https://projectcatalyst.io/funds/14/cardano-open-ecosystem/the-drep-hour-africa-podcast-by-african-dreps-proposal" TargetMode="External"/><Relationship Id="rId114" Type="http://schemas.openxmlformats.org/officeDocument/2006/relationships/hyperlink" Target="https://projectcatalyst.io/funds/14/cardano-open-ecosystem/cardano-stars-youtuber-hype-for-100-developers" TargetMode="External"/><Relationship Id="rId235" Type="http://schemas.openxmlformats.org/officeDocument/2006/relationships/hyperlink" Target="https://projectcatalyst.io/funds/14/cardano-open-ecosystem/defining-the-first-jurisprudential-milestones-for-cardano" TargetMode="External"/><Relationship Id="rId356" Type="http://schemas.openxmlformats.org/officeDocument/2006/relationships/hyperlink" Target="https://projectcatalyst.io/funds/14/cardano-open-ecosystem/cardano-ideafest-ecuador" TargetMode="External"/><Relationship Id="rId113" Type="http://schemas.openxmlformats.org/officeDocument/2006/relationships/hyperlink" Target="https://projectcatalyst.io/funds/14/cardano-open-ecosystem/governance-in-pictures" TargetMode="External"/><Relationship Id="rId234" Type="http://schemas.openxmlformats.org/officeDocument/2006/relationships/hyperlink" Target="https://projectcatalyst.io/funds/14/cardano-open-ecosystem/vietnam-cardano-ideathon-2026" TargetMode="External"/><Relationship Id="rId355" Type="http://schemas.openxmlformats.org/officeDocument/2006/relationships/hyperlink" Target="https://projectcatalyst.io/funds/14/cardano-open-ecosystem/cardano-bites" TargetMode="External"/><Relationship Id="rId112" Type="http://schemas.openxmlformats.org/officeDocument/2006/relationships/hyperlink" Target="https://projectcatalyst.io/funds/14/cardano-open-ecosystem/c2vn-university-cardano-integration-education-to-research" TargetMode="External"/><Relationship Id="rId233" Type="http://schemas.openxmlformats.org/officeDocument/2006/relationships/hyperlink" Target="https://projectcatalyst.io/funds/14/cardano-open-ecosystem/cardano-store-onboarding-university-students-at-tech-events" TargetMode="External"/><Relationship Id="rId354" Type="http://schemas.openxmlformats.org/officeDocument/2006/relationships/hyperlink" Target="https://projectcatalyst.io/funds/14/cardano-open-ecosystem/incubuild-house-india-building-sustainable-cardano-projects" TargetMode="External"/><Relationship Id="rId111" Type="http://schemas.openxmlformats.org/officeDocument/2006/relationships/hyperlink" Target="https://projectcatalyst.io/funds/14/cardano-open-ecosystem/seasons-of-collaboration-funding-the-odin-initiative" TargetMode="External"/><Relationship Id="rId232" Type="http://schemas.openxmlformats.org/officeDocument/2006/relationships/hyperlink" Target="https://projectcatalyst.io/funds/14/cardano-open-ecosystem/high-impact-investor-onboarding-exclusive-cardano-growth" TargetMode="External"/><Relationship Id="rId353" Type="http://schemas.openxmlformats.org/officeDocument/2006/relationships/hyperlink" Target="https://projectcatalyst.io/funds/14/cardano-open-ecosystem/cafinet-discover-cardano-dapps-a-journey-of-exploration" TargetMode="External"/><Relationship Id="rId305" Type="http://schemas.openxmlformats.org/officeDocument/2006/relationships/hyperlink" Target="https://projectcatalyst.io/funds/14/cardano-open-ecosystem/cardano-web3-education-hub" TargetMode="External"/><Relationship Id="rId426" Type="http://schemas.openxmlformats.org/officeDocument/2006/relationships/hyperlink" Target="https://projectcatalyst.io/funds/14/cardano-open-ecosystem/block-by-block-she-builds" TargetMode="External"/><Relationship Id="rId304" Type="http://schemas.openxmlformats.org/officeDocument/2006/relationships/hyperlink" Target="https://projectcatalyst.io/funds/14/cardano-open-ecosystem/cardano-connect-meetups-across-drc-uganda-and-rwanda" TargetMode="External"/><Relationship Id="rId425" Type="http://schemas.openxmlformats.org/officeDocument/2006/relationships/hyperlink" Target="https://projectcatalyst.io/funds/14/cardano-open-ecosystem/maiz-or-growing-cardano-use-cases-in-latam" TargetMode="External"/><Relationship Id="rId303" Type="http://schemas.openxmlformats.org/officeDocument/2006/relationships/hyperlink" Target="https://projectcatalyst.io/funds/14/cardano-open-ecosystem/azteca-summit-second-edition-innovation-and-global-alliances" TargetMode="External"/><Relationship Id="rId424" Type="http://schemas.openxmlformats.org/officeDocument/2006/relationships/hyperlink" Target="https://projectcatalyst.io/funds/14/cardano-open-ecosystem/cardano-localization-and-language-access" TargetMode="External"/><Relationship Id="rId302" Type="http://schemas.openxmlformats.org/officeDocument/2006/relationships/hyperlink" Target="https://projectcatalyst.io/funds/14/cardano-open-ecosystem/voices-of-africa-on-tiktok" TargetMode="External"/><Relationship Id="rId423" Type="http://schemas.openxmlformats.org/officeDocument/2006/relationships/hyperlink" Target="https://projectcatalyst.io/funds/14/cardano-open-ecosystem/empowering-women-in-blockchain" TargetMode="External"/><Relationship Id="rId309" Type="http://schemas.openxmlformats.org/officeDocument/2006/relationships/hyperlink" Target="https://projectcatalyst.io/funds/14/cardano-open-ecosystem/ecorewards-motivating-plastic-recycling-in-accra-schools" TargetMode="External"/><Relationship Id="rId308" Type="http://schemas.openxmlformats.org/officeDocument/2006/relationships/hyperlink" Target="https://projectcatalyst.io/funds/14/cardano-open-ecosystem/cardano-campus-connect-blockchain-seminars-in-ethiopia" TargetMode="External"/><Relationship Id="rId429" Type="http://schemas.openxmlformats.org/officeDocument/2006/relationships/hyperlink" Target="https://projectcatalyst.io/funds/14/cardano-open-ecosystem/scaling-cardano-innovation-blockprint-developers-community" TargetMode="External"/><Relationship Id="rId307" Type="http://schemas.openxmlformats.org/officeDocument/2006/relationships/hyperlink" Target="https://projectcatalyst.io/funds/14/cardano-open-ecosystem/3000-gen-z-ambassadors-enrich-the-ecosystem" TargetMode="External"/><Relationship Id="rId428" Type="http://schemas.openxmlformats.org/officeDocument/2006/relationships/hyperlink" Target="https://projectcatalyst.io/funds/14/cardano-open-ecosystem/expanding-lovelace-academys-reach-to-more-devs-on-instagram" TargetMode="External"/><Relationship Id="rId306" Type="http://schemas.openxmlformats.org/officeDocument/2006/relationships/hyperlink" Target="https://projectcatalyst.io/funds/14/cardano-open-ecosystem/creating-the-blockchain-innovators-of-tomorrow" TargetMode="External"/><Relationship Id="rId427" Type="http://schemas.openxmlformats.org/officeDocument/2006/relationships/hyperlink" Target="https://projectcatalyst.io/funds/14/cardano-open-ecosystem/cardano-connect-sms-blockchain-education-at-scale" TargetMode="External"/><Relationship Id="rId301" Type="http://schemas.openxmlformats.org/officeDocument/2006/relationships/hyperlink" Target="https://projectcatalyst.io/funds/14/cardano-open-ecosystem/cardano-x-gen-z-the-tiktok-engine-for-10000-new-users" TargetMode="External"/><Relationship Id="rId422" Type="http://schemas.openxmlformats.org/officeDocument/2006/relationships/hyperlink" Target="https://projectcatalyst.io/funds/14/cardano-open-ecosystem/cardano-cup" TargetMode="External"/><Relationship Id="rId300" Type="http://schemas.openxmlformats.org/officeDocument/2006/relationships/hyperlink" Target="https://projectcatalyst.io/funds/14/cardano-open-ecosystem/wallet-quest-on-cardano-teambuilding-corporate" TargetMode="External"/><Relationship Id="rId421" Type="http://schemas.openxmlformats.org/officeDocument/2006/relationships/hyperlink" Target="https://projectcatalyst.io/funds/14/cardano-open-ecosystem/building-a-cardano-hyperteam-vietnam-in-hanoi" TargetMode="External"/><Relationship Id="rId420" Type="http://schemas.openxmlformats.org/officeDocument/2006/relationships/hyperlink" Target="https://projectcatalyst.io/funds/14/cardano-open-ecosystem/cardano-community-hackathon" TargetMode="External"/><Relationship Id="rId415" Type="http://schemas.openxmlformats.org/officeDocument/2006/relationships/hyperlink" Target="https://projectcatalyst.io/funds/14/cardano-open-ecosystem/from-birr-to-blockchain-ethiopias-investor-to-cardano" TargetMode="External"/><Relationship Id="rId414" Type="http://schemas.openxmlformats.org/officeDocument/2006/relationships/hyperlink" Target="https://projectcatalyst.io/funds/14/cardano-open-ecosystem/cardano-and-cho" TargetMode="External"/><Relationship Id="rId413" Type="http://schemas.openxmlformats.org/officeDocument/2006/relationships/hyperlink" Target="https://projectcatalyst.io/funds/14/cardano-open-ecosystem/hope-bridge-connecting-ethiopian-investors-to-cardano" TargetMode="External"/><Relationship Id="rId412" Type="http://schemas.openxmlformats.org/officeDocument/2006/relationships/hyperlink" Target="https://projectcatalyst.io/funds/14/cardano-open-ecosystem/cardano-stonerz-club" TargetMode="External"/><Relationship Id="rId419" Type="http://schemas.openxmlformats.org/officeDocument/2006/relationships/hyperlink" Target="https://projectcatalyst.io/funds/14/cardano-open-ecosystem/publishing-cardano-knowledge-in-africas-10-key-tongues" TargetMode="External"/><Relationship Id="rId418" Type="http://schemas.openxmlformats.org/officeDocument/2006/relationships/hyperlink" Target="https://projectcatalyst.io/funds/14/cardano-open-ecosystem/cardano-cracks-a-podcast-of-cardano" TargetMode="External"/><Relationship Id="rId417" Type="http://schemas.openxmlformats.org/officeDocument/2006/relationships/hyperlink" Target="https://projectcatalyst.io/funds/14/cardano-open-ecosystem/harmonizing-with-cardano-a-musical-exploration" TargetMode="External"/><Relationship Id="rId416" Type="http://schemas.openxmlformats.org/officeDocument/2006/relationships/hyperlink" Target="https://projectcatalyst.io/funds/14/cardano-open-ecosystem/cardano-in-afan-oromo-learn-build-govern" TargetMode="External"/><Relationship Id="rId411" Type="http://schemas.openxmlformats.org/officeDocument/2006/relationships/hyperlink" Target="https://projectcatalyst.io/funds/14/cardano-open-ecosystem/cardano-africa-onboarding-sprint" TargetMode="External"/><Relationship Id="rId410" Type="http://schemas.openxmlformats.org/officeDocument/2006/relationships/hyperlink" Target="https://projectcatalyst.io/funds/14/cardano-open-ecosystem/empowering-hawassa-a-cardano-blockchain-innovation-hub" TargetMode="External"/><Relationship Id="rId206" Type="http://schemas.openxmlformats.org/officeDocument/2006/relationships/hyperlink" Target="https://projectcatalyst.io/funds/14/cardano-open-ecosystem/cardano-hackathons-addis-ababa-and-adama" TargetMode="External"/><Relationship Id="rId327" Type="http://schemas.openxmlformats.org/officeDocument/2006/relationships/hyperlink" Target="https://projectcatalyst.io/funds/14/cardano-open-ecosystem/gerocardan-video-translation-for-community-education" TargetMode="External"/><Relationship Id="rId448" Type="http://schemas.openxmlformats.org/officeDocument/2006/relationships/hyperlink" Target="https://projectcatalyst.io/funds/14/cardano-open-ecosystem/regulatory-watch-monthly-digest-and-risk-radar" TargetMode="External"/><Relationship Id="rId205" Type="http://schemas.openxmlformats.org/officeDocument/2006/relationships/hyperlink" Target="https://projectcatalyst.io/funds/14/cardano-open-ecosystem/cardano-course-educating-20000-learners-with-25-courses" TargetMode="External"/><Relationship Id="rId326" Type="http://schemas.openxmlformats.org/officeDocument/2006/relationships/hyperlink" Target="https://projectcatalyst.io/funds/14/cardano-open-ecosystem/empowering-ethiopia-with-cardano-engaging-video-education" TargetMode="External"/><Relationship Id="rId447" Type="http://schemas.openxmlformats.org/officeDocument/2006/relationships/hyperlink" Target="https://projectcatalyst.io/funds/14/cardano-open-ecosystem/cardano4skill-practical-training-for-ethiopian-businesses" TargetMode="External"/><Relationship Id="rId204" Type="http://schemas.openxmlformats.org/officeDocument/2006/relationships/hyperlink" Target="https://projectcatalyst.io/funds/14/cardano-open-ecosystem/governance-and-developer-workshops-across-5-african-countries" TargetMode="External"/><Relationship Id="rId325" Type="http://schemas.openxmlformats.org/officeDocument/2006/relationships/hyperlink" Target="https://projectcatalyst.io/funds/14/cardano-open-ecosystem/project-cardano-clarity" TargetMode="External"/><Relationship Id="rId446" Type="http://schemas.openxmlformats.org/officeDocument/2006/relationships/hyperlink" Target="https://projectcatalyst.io/funds/14/cardano-open-ecosystem/youtube-channel-for-the-oromo-speaking-community" TargetMode="External"/><Relationship Id="rId203" Type="http://schemas.openxmlformats.org/officeDocument/2006/relationships/hyperlink" Target="https://projectcatalyst.io/funds/14/cardano-open-ecosystem/cardano-university-ambassadors-network" TargetMode="External"/><Relationship Id="rId324" Type="http://schemas.openxmlformats.org/officeDocument/2006/relationships/hyperlink" Target="https://projectcatalyst.io/funds/14/cardano-open-ecosystem/herada-cardano-powered-incubator-for-women-led-startups" TargetMode="External"/><Relationship Id="rId445" Type="http://schemas.openxmlformats.org/officeDocument/2006/relationships/hyperlink" Target="https://projectcatalyst.io/funds/14/cardano-open-ecosystem/interactive-lessons-for-grassroots-onboarding" TargetMode="External"/><Relationship Id="rId209" Type="http://schemas.openxmlformats.org/officeDocument/2006/relationships/hyperlink" Target="https://projectcatalyst.io/funds/14/cardano-open-ecosystem/cardano-for-educators-a-platform-for-blockchain-education" TargetMode="External"/><Relationship Id="rId208" Type="http://schemas.openxmlformats.org/officeDocument/2006/relationships/hyperlink" Target="https://projectcatalyst.io/funds/14/cardano-open-ecosystem/onboarding-of-college-students-in-brazil" TargetMode="External"/><Relationship Id="rId329" Type="http://schemas.openxmlformats.org/officeDocument/2006/relationships/hyperlink" Target="https://projectcatalyst.io/funds/14/cardano-open-ecosystem/cardano-learning-hubs-in-public-libraries" TargetMode="External"/><Relationship Id="rId207" Type="http://schemas.openxmlformats.org/officeDocument/2006/relationships/hyperlink" Target="https://projectcatalyst.io/funds/14/cardano-open-ecosystem/token-issuance-legal-suite-tils-for-cardano" TargetMode="External"/><Relationship Id="rId328" Type="http://schemas.openxmlformats.org/officeDocument/2006/relationships/hyperlink" Target="https://projectcatalyst.io/funds/14/cardano-open-ecosystem/growing-cardano-ecosystem-via-offline-digital-library-server" TargetMode="External"/><Relationship Id="rId449" Type="http://schemas.openxmlformats.org/officeDocument/2006/relationships/hyperlink" Target="https://projectcatalyst.io/funds/14/cardano-open-ecosystem/cardano-ethiopia-tiktok-in-3-languages" TargetMode="External"/><Relationship Id="rId440" Type="http://schemas.openxmlformats.org/officeDocument/2006/relationships/hyperlink" Target="https://projectcatalyst.io/funds/14/cardano-open-ecosystem/empowering-ghanaian-youths-through-cardano-blockchain-20" TargetMode="External"/><Relationship Id="rId202" Type="http://schemas.openxmlformats.org/officeDocument/2006/relationships/hyperlink" Target="https://projectcatalyst.io/funds/14/cardano-open-ecosystem/onboarding-dubais-expat-coders-to-cardano" TargetMode="External"/><Relationship Id="rId323" Type="http://schemas.openxmlformats.org/officeDocument/2006/relationships/hyperlink" Target="https://projectcatalyst.io/funds/14/cardano-open-ecosystem/cardonald-or-the-meme-brand-account-for-cardano" TargetMode="External"/><Relationship Id="rId444" Type="http://schemas.openxmlformats.org/officeDocument/2006/relationships/hyperlink" Target="https://projectcatalyst.io/funds/14/cardano-open-ecosystem/cardano-rise-program-2025" TargetMode="External"/><Relationship Id="rId201" Type="http://schemas.openxmlformats.org/officeDocument/2006/relationships/hyperlink" Target="https://projectcatalyst.io/funds/14/cardano-open-ecosystem/cardano-blockchain-education-in-cameroon" TargetMode="External"/><Relationship Id="rId322" Type="http://schemas.openxmlformats.org/officeDocument/2006/relationships/hyperlink" Target="https://projectcatalyst.io/funds/14/cardano-open-ecosystem/cardano-web3-literacy-tour" TargetMode="External"/><Relationship Id="rId443" Type="http://schemas.openxmlformats.org/officeDocument/2006/relationships/hyperlink" Target="https://projectcatalyst.io/funds/14/cardano-open-ecosystem/a-cardano-hub-in-nyiragongo-for-an-underserved-region" TargetMode="External"/><Relationship Id="rId200" Type="http://schemas.openxmlformats.org/officeDocument/2006/relationships/hyperlink" Target="https://projectcatalyst.io/funds/14/cardano-open-ecosystem/crypto-legislation-via-popular-petition-in-paraguay" TargetMode="External"/><Relationship Id="rId321" Type="http://schemas.openxmlformats.org/officeDocument/2006/relationships/hyperlink" Target="https://projectcatalyst.io/funds/14/cardano-open-ecosystem/bookster-12m-installs-4-cardano-challenges-audiobook" TargetMode="External"/><Relationship Id="rId442" Type="http://schemas.openxmlformats.org/officeDocument/2006/relationships/hyperlink" Target="https://projectcatalyst.io/funds/14/cardano-open-ecosystem/cardano-city-tour-driving-local-blockchain-awareness" TargetMode="External"/><Relationship Id="rId320" Type="http://schemas.openxmlformats.org/officeDocument/2006/relationships/hyperlink" Target="https://projectcatalyst.io/funds/14/cardano-open-ecosystem/cardano-ghana-community-hub-and-legal-registration" TargetMode="External"/><Relationship Id="rId441" Type="http://schemas.openxmlformats.org/officeDocument/2006/relationships/hyperlink" Target="https://projectcatalyst.io/funds/14/cardano-open-ecosystem/voices-of-cardano-africa" TargetMode="External"/><Relationship Id="rId316" Type="http://schemas.openxmlformats.org/officeDocument/2006/relationships/hyperlink" Target="https://projectcatalyst.io/funds/14/cardano-open-ecosystem/cardano-blockchain-literacy-and-innovation-program-at-amu" TargetMode="External"/><Relationship Id="rId437" Type="http://schemas.openxmlformats.org/officeDocument/2006/relationships/hyperlink" Target="https://projectcatalyst.io/funds/14/cardano-open-ecosystem/ai-video-engage-cardanos-global-community-in-en-or-jp-oresor" TargetMode="External"/><Relationship Id="rId315" Type="http://schemas.openxmlformats.org/officeDocument/2006/relationships/hyperlink" Target="https://projectcatalyst.io/funds/14/cardano-open-ecosystem/the-africa-ada-show-a-catalyst-youtube-series" TargetMode="External"/><Relationship Id="rId436" Type="http://schemas.openxmlformats.org/officeDocument/2006/relationships/hyperlink" Target="https://projectcatalyst.io/funds/14/cardano-open-ecosystem/cardanochronicle-an-interactive-timeline-of-cardano-history" TargetMode="External"/><Relationship Id="rId314" Type="http://schemas.openxmlformats.org/officeDocument/2006/relationships/hyperlink" Target="https://projectcatalyst.io/funds/14/cardano-open-ecosystem/connecting-rural-ghana-to-cardanos-future" TargetMode="External"/><Relationship Id="rId435" Type="http://schemas.openxmlformats.org/officeDocument/2006/relationships/hyperlink" Target="https://projectcatalyst.io/funds/14/cardano-open-ecosystem/sw-florida-community-outreach" TargetMode="External"/><Relationship Id="rId313" Type="http://schemas.openxmlformats.org/officeDocument/2006/relationships/hyperlink" Target="https://projectcatalyst.io/funds/14/cardano-open-ecosystem/educating-local-high-school-students-in-afar-about-cardano" TargetMode="External"/><Relationship Id="rId434" Type="http://schemas.openxmlformats.org/officeDocument/2006/relationships/hyperlink" Target="https://projectcatalyst.io/funds/14/cardano-open-ecosystem/cardano-explainer-series-ghanaian-edition" TargetMode="External"/><Relationship Id="rId319" Type="http://schemas.openxmlformats.org/officeDocument/2006/relationships/hyperlink" Target="https://projectcatalyst.io/funds/14/cardano-open-ecosystem/cardano-unlocked-trilingual-primer-eng-jpn-vi" TargetMode="External"/><Relationship Id="rId318" Type="http://schemas.openxmlformats.org/officeDocument/2006/relationships/hyperlink" Target="https://projectcatalyst.io/funds/14/cardano-open-ecosystem/2026-african-blockchain-championship-cardano" TargetMode="External"/><Relationship Id="rId439" Type="http://schemas.openxmlformats.org/officeDocument/2006/relationships/hyperlink" Target="https://projectcatalyst.io/funds/14/cardano-open-ecosystem/printable-cardano-wallet-setup-sheet" TargetMode="External"/><Relationship Id="rId317" Type="http://schemas.openxmlformats.org/officeDocument/2006/relationships/hyperlink" Target="https://projectcatalyst.io/funds/14/cardano-open-ecosystem/cardano-africa-community-research-and-insights" TargetMode="External"/><Relationship Id="rId438" Type="http://schemas.openxmlformats.org/officeDocument/2006/relationships/hyperlink" Target="https://projectcatalyst.io/funds/14/cardano-open-ecosystem/cafinet-workflow-creating-hundreds-multi-platform-videos" TargetMode="External"/><Relationship Id="rId312" Type="http://schemas.openxmlformats.org/officeDocument/2006/relationships/hyperlink" Target="https://projectcatalyst.io/funds/14/cardano-open-ecosystem/delotus-academycardano-education-for-high-school-innovators" TargetMode="External"/><Relationship Id="rId433" Type="http://schemas.openxmlformats.org/officeDocument/2006/relationships/hyperlink" Target="https://projectcatalyst.io/funds/14/cardano-open-ecosystem/cardano-blockchain-day-peru-1st-edition" TargetMode="External"/><Relationship Id="rId311" Type="http://schemas.openxmlformats.org/officeDocument/2006/relationships/hyperlink" Target="https://projectcatalyst.io/funds/14/cardano-open-ecosystem/cardano-africa-boom-tiktok-for-blockchain-adoption" TargetMode="External"/><Relationship Id="rId432" Type="http://schemas.openxmlformats.org/officeDocument/2006/relationships/hyperlink" Target="https://projectcatalyst.io/funds/14/cardano-open-ecosystem/empowering-high-schoolers-to-lead-in-cardano" TargetMode="External"/><Relationship Id="rId310" Type="http://schemas.openxmlformats.org/officeDocument/2006/relationships/hyperlink" Target="https://projectcatalyst.io/funds/14/cardano-open-ecosystem/building-cardano-campus-clubs-in-6-ghanaian-universities" TargetMode="External"/><Relationship Id="rId431" Type="http://schemas.openxmlformats.org/officeDocument/2006/relationships/hyperlink" Target="https://projectcatalyst.io/funds/14/cardano-open-ecosystem/run-for-cardano-addis-ababa-10km-challenge" TargetMode="External"/><Relationship Id="rId430" Type="http://schemas.openxmlformats.org/officeDocument/2006/relationships/hyperlink" Target="https://projectcatalyst.io/funds/14/cardano-open-ecosystem/cardano-podcast-impact-stories-of-funded-project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rojectcatalyst.io/funds/14/cardano-use-cases-partners-and-products/snekbot-sundaelabs-non-custodial-trading-using-strategies" TargetMode="External"/><Relationship Id="rId2" Type="http://schemas.openxmlformats.org/officeDocument/2006/relationships/hyperlink" Target="https://projectcatalyst.io/funds/14/cardano-use-cases-partners-and-products/ledger-live-drep-delegation-support" TargetMode="External"/><Relationship Id="rId3" Type="http://schemas.openxmlformats.org/officeDocument/2006/relationships/hyperlink" Target="https://projectcatalyst.io/funds/14/cardano-use-cases-partners-and-products/vespr-keyless-self-custody-without-seed-phrases" TargetMode="External"/><Relationship Id="rId4" Type="http://schemas.openxmlformats.org/officeDocument/2006/relationships/hyperlink" Target="https://projectcatalyst.io/funds/14/cardano-use-cases-partners-and-products/stable-cardano-fast-and-feeless-usdt-interopability" TargetMode="External"/><Relationship Id="rId9" Type="http://schemas.openxmlformats.org/officeDocument/2006/relationships/hyperlink" Target="https://projectcatalyst.io/funds/14/cardano-use-cases-partners-and-products/vespr-mobile-governance-activating-100m-ada" TargetMode="External"/><Relationship Id="rId5" Type="http://schemas.openxmlformats.org/officeDocument/2006/relationships/hyperlink" Target="https://projectcatalyst.io/funds/14/cardano-use-cases-partners-and-products/vespr-x-dexhunter-stable-swaps-aggregation" TargetMode="External"/><Relationship Id="rId6" Type="http://schemas.openxmlformats.org/officeDocument/2006/relationships/hyperlink" Target="https://projectcatalyst.io/funds/14/cardano-use-cases-partners-and-products/strike-finance-lessgreater-bodega-market-predection-market-perps" TargetMode="External"/><Relationship Id="rId7" Type="http://schemas.openxmlformats.org/officeDocument/2006/relationships/hyperlink" Target="https://projectcatalyst.io/funds/14/cardano-use-cases-partners-and-products/cardano-cross-chain-swaps-with-25-blockchains" TargetMode="External"/><Relationship Id="rId8" Type="http://schemas.openxmlformats.org/officeDocument/2006/relationships/hyperlink" Target="https://projectcatalyst.io/funds/14/cardano-open-developers/rapid-dex-mainnet-ready-batcher-free-and-advanced-features" TargetMode="External"/><Relationship Id="rId40" Type="http://schemas.openxmlformats.org/officeDocument/2006/relationships/hyperlink" Target="https://projectcatalyst.io/funds/14/cardano-open-developers/cometaphp-cardano-sdk-for-php-with-full-conway-era-support" TargetMode="External"/><Relationship Id="rId42" Type="http://schemas.openxmlformats.org/officeDocument/2006/relationships/hyperlink" Target="https://projectcatalyst.io/funds/14/cardano-open-developers/high-performance-cardano-dex-indexer-rust-grpc" TargetMode="External"/><Relationship Id="rId41" Type="http://schemas.openxmlformats.org/officeDocument/2006/relationships/hyperlink" Target="https://projectcatalyst.io/funds/14/cardano-open-developers/atlas-pab-native-bitcoin-btc-integration-layer" TargetMode="External"/><Relationship Id="rId44" Type="http://schemas.openxmlformats.org/officeDocument/2006/relationships/hyperlink" Target="https://projectcatalyst.io/funds/14/cardano-open-developers/mlabs-path-analysis-on-covenant" TargetMode="External"/><Relationship Id="rId43" Type="http://schemas.openxmlformats.org/officeDocument/2006/relationships/hyperlink" Target="https://projectcatalyst.io/funds/14/cardano-open-developers/saib-chrysalistx-advanced-transaction-building-for-net" TargetMode="External"/><Relationship Id="rId46" Type="http://schemas.openxmlformats.org/officeDocument/2006/relationships/hyperlink" Target="https://projectcatalyst.io/funds/14/cardano-open-developers/mesh-privacy-enabled-smart-contracts-and-ui-for-midnight" TargetMode="External"/><Relationship Id="rId45" Type="http://schemas.openxmlformats.org/officeDocument/2006/relationships/hyperlink" Target="https://projectcatalyst.io/funds/14/cardano-use-cases-partners-and-products/iso-compliant-forest-mrv-satellite-oracle-extension" TargetMode="External"/><Relationship Id="rId48" Type="http://schemas.openxmlformats.org/officeDocument/2006/relationships/hyperlink" Target="https://projectcatalyst.io/funds/14/cardano-open-developers/vdic-cardano-verifiable-ipfs-clusters-for-cardano" TargetMode="External"/><Relationship Id="rId47" Type="http://schemas.openxmlformats.org/officeDocument/2006/relationships/hyperlink" Target="https://projectcatalyst.io/funds/14/cardano-open-developers/cross-platform-sdk-a-unified-cardano-development-kit" TargetMode="External"/><Relationship Id="rId49" Type="http://schemas.openxmlformats.org/officeDocument/2006/relationships/hyperlink" Target="https://projectcatalyst.io/funds/14/cardano-use-cases-partners-and-products/mesh-utxos-x-mercuryo-mastercard-x-checkpoint" TargetMode="External"/><Relationship Id="rId31" Type="http://schemas.openxmlformats.org/officeDocument/2006/relationships/hyperlink" Target="https://projectcatalyst.io/funds/14/cardano-open-developers/evolution-1-of-cardano-native-token-price-indexer-in-kotlin" TargetMode="External"/><Relationship Id="rId30" Type="http://schemas.openxmlformats.org/officeDocument/2006/relationships/hyperlink" Target="https://projectcatalyst.io/funds/14/cardano-use-cases-partners-and-products/ai-agent-to-break-barriers-and-unlock-cardano-defi-adoption" TargetMode="External"/><Relationship Id="rId33" Type="http://schemas.openxmlformats.org/officeDocument/2006/relationships/hyperlink" Target="https://projectcatalyst.io/funds/14/cardano-open-developers/saib-chrysalisplutussdk-developer-tools-and-integration" TargetMode="External"/><Relationship Id="rId32" Type="http://schemas.openxmlformats.org/officeDocument/2006/relationships/hyperlink" Target="https://projectcatalyst.io/funds/14/cardano-open-developers/elixir-client-for-ouroboros-networking-protocol" TargetMode="External"/><Relationship Id="rId35" Type="http://schemas.openxmlformats.org/officeDocument/2006/relationships/hyperlink" Target="https://projectcatalyst.io/funds/14/cardano-open-developers/aiken-integration-on-intellij-eryx" TargetMode="External"/><Relationship Id="rId34" Type="http://schemas.openxmlformats.org/officeDocument/2006/relationships/hyperlink" Target="https://projectcatalyst.io/funds/14/cardano-use-cases-partners-and-products/clarity-x-tempo-cardano-governance-hub" TargetMode="External"/><Relationship Id="rId37" Type="http://schemas.openxmlformats.org/officeDocument/2006/relationships/hyperlink" Target="https://projectcatalyst.io/funds/14/cardano-open-developers/multi-source-oracle-aggregation" TargetMode="External"/><Relationship Id="rId36" Type="http://schemas.openxmlformats.org/officeDocument/2006/relationships/hyperlink" Target="https://projectcatalyst.io/funds/14/cardano-use-cases-partners-and-products/faster-and-trusted-cardano-oracle-98x-cheaper-vs-chainlink" TargetMode="External"/><Relationship Id="rId39" Type="http://schemas.openxmlformats.org/officeDocument/2006/relationships/hyperlink" Target="https://projectcatalyst.io/funds/14/cardano-open-developers/anvil-csllite-modular-cardano-serialization-toolkit" TargetMode="External"/><Relationship Id="rId38" Type="http://schemas.openxmlformats.org/officeDocument/2006/relationships/hyperlink" Target="https://projectcatalyst.io/funds/14/cardano-use-cases-partners-and-products/financial-inclusion-for-unbanked-women-via-did-and-education" TargetMode="External"/><Relationship Id="rId20" Type="http://schemas.openxmlformats.org/officeDocument/2006/relationships/hyperlink" Target="https://projectcatalyst.io/funds/14/cardano-use-cases-partners-and-products/1694io-open-source-governance-tooling-and-drep-platform" TargetMode="External"/><Relationship Id="rId22" Type="http://schemas.openxmlformats.org/officeDocument/2006/relationships/hyperlink" Target="https://projectcatalyst.io/funds/14/cardano-use-cases-partners-and-products/real-estate-tokenization-powered-by-cardano" TargetMode="External"/><Relationship Id="rId21" Type="http://schemas.openxmlformats.org/officeDocument/2006/relationships/hyperlink" Target="https://projectcatalyst.io/funds/14/cardano-open-developers/cometacpp-cardano-sdk-for-c-with-full-conway-era-support" TargetMode="External"/><Relationship Id="rId24" Type="http://schemas.openxmlformats.org/officeDocument/2006/relationships/hyperlink" Target="https://projectcatalyst.io/funds/14/cardano-open-developers/implement-plonk-in-aiken-zk-eryx" TargetMode="External"/><Relationship Id="rId23" Type="http://schemas.openxmlformats.org/officeDocument/2006/relationships/hyperlink" Target="https://projectcatalyst.io/funds/14/cardano-open-developers/cardano-component-ui-library-by-lido-nation" TargetMode="External"/><Relationship Id="rId26" Type="http://schemas.openxmlformats.org/officeDocument/2006/relationships/hyperlink" Target="https://projectcatalyst.io/funds/14/cardano-open-developers/mlabs-ctl-javascript-typescript-interface" TargetMode="External"/><Relationship Id="rId25" Type="http://schemas.openxmlformats.org/officeDocument/2006/relationships/hyperlink" Target="https://projectcatalyst.io/funds/14/cardano-use-cases-partners-and-products/agripass-verified-identity-trusted-agriculture" TargetMode="External"/><Relationship Id="rId28" Type="http://schemas.openxmlformats.org/officeDocument/2006/relationships/hyperlink" Target="https://projectcatalyst.io/funds/14/cardano-open-developers/saib-chrysalisnetwork-ouroboros-protocols-for-net" TargetMode="External"/><Relationship Id="rId27" Type="http://schemas.openxmlformats.org/officeDocument/2006/relationships/hyperlink" Target="https://projectcatalyst.io/funds/14/cardano-open-developers/bind-friendly-c-library-for-ledger-hw-cardano-app" TargetMode="External"/><Relationship Id="rId29" Type="http://schemas.openxmlformats.org/officeDocument/2006/relationships/hyperlink" Target="https://projectcatalyst.io/funds/14/cardano-use-cases-partners-and-products/launching-the-frax-stablecoin-and-defi-ecosystem-on-cardano" TargetMode="External"/><Relationship Id="rId11" Type="http://schemas.openxmlformats.org/officeDocument/2006/relationships/hyperlink" Target="https://projectcatalyst.io/funds/14/cardano-open-developers/no-witness-hydra-manager" TargetMode="External"/><Relationship Id="rId10" Type="http://schemas.openxmlformats.org/officeDocument/2006/relationships/hyperlink" Target="https://projectcatalyst.io/funds/14/cardano-open-developers/cexplorer-mini-cardano-explorer-for-not-only-local-usage" TargetMode="External"/><Relationship Id="rId13" Type="http://schemas.openxmlformats.org/officeDocument/2006/relationships/hyperlink" Target="https://projectcatalyst.io/funds/14/cardano-open-developers/saib-chrysalisplutuscore-parser-and-cek-engine-for-net" TargetMode="External"/><Relationship Id="rId12" Type="http://schemas.openxmlformats.org/officeDocument/2006/relationships/hyperlink" Target="https://projectcatalyst.io/funds/14/cardano-open-developers/sap-cardano-odata-v4-api-with-cap-and-sap-cardano-sdk" TargetMode="External"/><Relationship Id="rId15" Type="http://schemas.openxmlformats.org/officeDocument/2006/relationships/hyperlink" Target="https://projectcatalyst.io/funds/14/cardano-use-cases-partners-and-products/boosting-usdmusda-adoption-with-buy-now-pay-later-loans" TargetMode="External"/><Relationship Id="rId14" Type="http://schemas.openxmlformats.org/officeDocument/2006/relationships/hyperlink" Target="https://projectcatalyst.io/funds/14/cardano-open-developers/k3-labs-and-waffle-capital-or-defi-agents-on-cardano" TargetMode="External"/><Relationship Id="rId17" Type="http://schemas.openxmlformats.org/officeDocument/2006/relationships/hyperlink" Target="https://projectcatalyst.io/funds/14/cardano-use-cases-partners-and-products/mlabs-feesaswap-decentralized-fee-trading-on-cardano" TargetMode="External"/><Relationship Id="rId16" Type="http://schemas.openxmlformats.org/officeDocument/2006/relationships/hyperlink" Target="https://projectcatalyst.io/funds/14/cardano-use-cases-partners-and-products/ethereum-to-cardano-multi-asset-bridge-powered-by-wormhole" TargetMode="External"/><Relationship Id="rId19" Type="http://schemas.openxmlformats.org/officeDocument/2006/relationships/hyperlink" Target="https://projectcatalyst.io/funds/14/cardano-open-developers/anvil-weld-massive-updates-and-seamless-cardano-for-dapps" TargetMode="External"/><Relationship Id="rId18" Type="http://schemas.openxmlformats.org/officeDocument/2006/relationships/hyperlink" Target="https://projectcatalyst.io/funds/14/cardano-use-cases-partners-and-products/dpp-compliant-onchain-european-digital-product-passport" TargetMode="External"/><Relationship Id="rId84" Type="http://schemas.openxmlformats.org/officeDocument/2006/relationships/hyperlink" Target="https://projectcatalyst.io/funds/14/cardano-open-developers/no-witness-cardano-mcp-model-context-protocol" TargetMode="External"/><Relationship Id="rId83" Type="http://schemas.openxmlformats.org/officeDocument/2006/relationships/hyperlink" Target="https://projectcatalyst.io/funds/14/cardano-open-developers/no-witness-ghost-codec-the-hardhat-of-cardano" TargetMode="External"/><Relationship Id="rId86" Type="http://schemas.openxmlformats.org/officeDocument/2006/relationships/hyperlink" Target="https://projectcatalyst.io/funds/14/cardano-open-developers/cexplorer-public-entity-db-and-mgmt-for-pooldrepasset" TargetMode="External"/><Relationship Id="rId85" Type="http://schemas.openxmlformats.org/officeDocument/2006/relationships/hyperlink" Target="https://projectcatalyst.io/funds/14/cardano-open-developers/cexplorer-open-addon-system-for-metadata-and-scripts" TargetMode="External"/><Relationship Id="rId88" Type="http://schemas.openxmlformats.org/officeDocument/2006/relationships/hyperlink" Target="https://projectcatalyst.io/funds/14/cardano-open-developers/multi-chain-wallet-sdk-for-cardano-interoperability" TargetMode="External"/><Relationship Id="rId87" Type="http://schemas.openxmlformats.org/officeDocument/2006/relationships/hyperlink" Target="https://projectcatalyst.io/funds/14/cardano-open-developers/datum-explorer-advanced-cbor-tools-and-interactive-features" TargetMode="External"/><Relationship Id="rId89" Type="http://schemas.openxmlformats.org/officeDocument/2006/relationships/hyperlink" Target="https://projectcatalyst.io/funds/14/cardano-open-developers/prime-wallet-mass-voting-and-multi-wallet-actions" TargetMode="External"/><Relationship Id="rId80" Type="http://schemas.openxmlformats.org/officeDocument/2006/relationships/hyperlink" Target="https://projectcatalyst.io/funds/14/cardano-open-developers/cardanoscan-for-ai-agents-open-source-mcp-server" TargetMode="External"/><Relationship Id="rId82" Type="http://schemas.openxmlformats.org/officeDocument/2006/relationships/hyperlink" Target="https://projectcatalyst.io/funds/14/cardano-open-developers/no-witness-common-vulnerabilities-patterns" TargetMode="External"/><Relationship Id="rId81" Type="http://schemas.openxmlformats.org/officeDocument/2006/relationships/hyperlink" Target="https://projectcatalyst.io/funds/14/cardano-open-developers/no-witness-firehose-and-substreams-integration-for-cardano" TargetMode="External"/><Relationship Id="rId73" Type="http://schemas.openxmlformats.org/officeDocument/2006/relationships/hyperlink" Target="https://projectcatalyst.io/funds/14/cardano-open-developers/ai-powered-smart-contract-auditing-tool-for-cardano" TargetMode="External"/><Relationship Id="rId72" Type="http://schemas.openxmlformats.org/officeDocument/2006/relationships/hyperlink" Target="https://projectcatalyst.io/funds/14/cardano-open-developers/koios-c-client-library" TargetMode="External"/><Relationship Id="rId75" Type="http://schemas.openxmlformats.org/officeDocument/2006/relationships/hyperlink" Target="https://projectcatalyst.io/funds/14/cardano-use-cases-partners-and-products/juicychain-tracing-the-global-juice-supply-chain-on-cardano" TargetMode="External"/><Relationship Id="rId74" Type="http://schemas.openxmlformats.org/officeDocument/2006/relationships/hyperlink" Target="https://projectcatalyst.io/funds/14/cardano-use-cases-partners-and-products/bikeid-proof-of-bike-millions-of-bikes-registered-on-cardano" TargetMode="External"/><Relationship Id="rId77" Type="http://schemas.openxmlformats.org/officeDocument/2006/relationships/hyperlink" Target="https://projectcatalyst.io/funds/14/cardano-open-developers/cometarb-cardano-sdk-for-ruby-with-full-conway-era-support" TargetMode="External"/><Relationship Id="rId76" Type="http://schemas.openxmlformats.org/officeDocument/2006/relationships/hyperlink" Target="https://projectcatalyst.io/funds/14/cardano-open-developers/midnight-and-open-zeppelin-partnership-for-computation" TargetMode="External"/><Relationship Id="rId79" Type="http://schemas.openxmlformats.org/officeDocument/2006/relationships/hyperlink" Target="https://projectcatalyst.io/funds/14/cardano-open-developers/no-witness-macs-coin-selection-algorithm-for-evolution-skd" TargetMode="External"/><Relationship Id="rId78" Type="http://schemas.openxmlformats.org/officeDocument/2006/relationships/hyperlink" Target="https://projectcatalyst.io/funds/14/cardano-use-cases-partners-and-products/hydra-powered-ev-battery-dpp-privacy-transparency" TargetMode="External"/><Relationship Id="rId71" Type="http://schemas.openxmlformats.org/officeDocument/2006/relationships/hyperlink" Target="https://projectcatalyst.io/funds/14/cardano-use-cases-partners-and-products/commercial-bank-money-token-cbmt-on-cardano" TargetMode="External"/><Relationship Id="rId70" Type="http://schemas.openxmlformats.org/officeDocument/2006/relationships/hyperlink" Target="https://projectcatalyst.io/funds/14/cardano-use-cases-partners-and-products/smartmerchtm-on-cardano-bringing-onchain-rwa-to-daily-life" TargetMode="External"/><Relationship Id="rId62" Type="http://schemas.openxmlformats.org/officeDocument/2006/relationships/hyperlink" Target="https://projectcatalyst.io/funds/14/cardano-open-developers/saib-chrysaliscbor-nets-cbor-deserialization-engine" TargetMode="External"/><Relationship Id="rId61" Type="http://schemas.openxmlformats.org/officeDocument/2006/relationships/hyperlink" Target="https://projectcatalyst.io/funds/14/cardano-open-developers/cardano-passkey" TargetMode="External"/><Relationship Id="rId64" Type="http://schemas.openxmlformats.org/officeDocument/2006/relationships/hyperlink" Target="https://projectcatalyst.io/funds/14/cardano-use-cases-partners-and-products/whitelabel-hydra-auctions-for-gaming-and-defi-mlabs-ikigai" TargetMode="External"/><Relationship Id="rId63" Type="http://schemas.openxmlformats.org/officeDocument/2006/relationships/hyperlink" Target="https://projectcatalyst.io/funds/14/cardano-use-cases-partners-and-products/one-click-insurance-for-transactions-oncardano-chain-and-dapps" TargetMode="External"/><Relationship Id="rId66" Type="http://schemas.openxmlformats.org/officeDocument/2006/relationships/hyperlink" Target="https://projectcatalyst.io/funds/14/cardano-open-developers/boost-developer-efficiency-cardano-midnight-dev-mcp-agent" TargetMode="External"/><Relationship Id="rId65" Type="http://schemas.openxmlformats.org/officeDocument/2006/relationships/hyperlink" Target="https://projectcatalyst.io/funds/14/cardano-open-developers/cots-cli-cardano-offline-transaction-simulator" TargetMode="External"/><Relationship Id="rId68" Type="http://schemas.openxmlformats.org/officeDocument/2006/relationships/hyperlink" Target="https://projectcatalyst.io/funds/14/cardano-open-developers/unified-open-source-dao-analytics-for-cardano" TargetMode="External"/><Relationship Id="rId67" Type="http://schemas.openxmlformats.org/officeDocument/2006/relationships/hyperlink" Target="https://projectcatalyst.io/funds/14/cardano-open-developers/cometalua-cardano-sdk-for-lua-with-full-conway-era-support" TargetMode="External"/><Relationship Id="rId60" Type="http://schemas.openxmlformats.org/officeDocument/2006/relationships/hyperlink" Target="https://projectcatalyst.io/funds/14/cardano-open-developers/shopify-ada-payments-native-assets-in-e-commerce-stores" TargetMode="External"/><Relationship Id="rId69" Type="http://schemas.openxmlformats.org/officeDocument/2006/relationships/hyperlink" Target="https://projectcatalyst.io/funds/14/cardano-use-cases-partners-and-products/nunet-decentralized-spo-computing-scalingandexpansion" TargetMode="External"/><Relationship Id="rId51" Type="http://schemas.openxmlformats.org/officeDocument/2006/relationships/hyperlink" Target="https://projectcatalyst.io/funds/14/cardano-open-developers/cardapay-seamless-payments-powered-by-cardano" TargetMode="External"/><Relationship Id="rId50" Type="http://schemas.openxmlformats.org/officeDocument/2006/relationships/hyperlink" Target="https://projectcatalyst.io/funds/14/cardano-use-cases-partners-and-products/flow-v2-open-source-multi-collateral-amm-lending-pools" TargetMode="External"/><Relationship Id="rId53" Type="http://schemas.openxmlformats.org/officeDocument/2006/relationships/hyperlink" Target="https://projectcatalyst.io/funds/14/cardano-use-cases-partners-and-products/onchain-leverage-trading-on-splash" TargetMode="External"/><Relationship Id="rId52" Type="http://schemas.openxmlformats.org/officeDocument/2006/relationships/hyperlink" Target="https://projectcatalyst.io/funds/14/cardano-use-cases-partners-and-products/all-in-one-catalyst-notifications-ai-lists-and-portfolios" TargetMode="External"/><Relationship Id="rId55" Type="http://schemas.openxmlformats.org/officeDocument/2006/relationships/hyperlink" Target="https://projectcatalyst.io/funds/14/cardano-open-developers/aiken-jetbrains-extension" TargetMode="External"/><Relationship Id="rId54" Type="http://schemas.openxmlformats.org/officeDocument/2006/relationships/hyperlink" Target="https://projectcatalyst.io/funds/14/cardano-use-cases-partners-and-products/muzify-cardano-fan-wallet-and-usda-loyalty-engine" TargetMode="External"/><Relationship Id="rId57" Type="http://schemas.openxmlformats.org/officeDocument/2006/relationships/hyperlink" Target="https://projectcatalyst.io/funds/14/cardano-open-developers/saib-chrysalisplutusbuiltins-core-runtime-operations" TargetMode="External"/><Relationship Id="rId56" Type="http://schemas.openxmlformats.org/officeDocument/2006/relationships/hyperlink" Target="https://projectcatalyst.io/funds/14/cardano-use-cases-partners-and-products/wfp-price-ledger-democratizing-market-data-with-blockchain" TargetMode="External"/><Relationship Id="rId59" Type="http://schemas.openxmlformats.org/officeDocument/2006/relationships/hyperlink" Target="https://projectcatalyst.io/funds/14/cardano-open-developers/andamio-auth-t3-app-template-with-cardano-token-based-login" TargetMode="External"/><Relationship Id="rId58" Type="http://schemas.openxmlformats.org/officeDocument/2006/relationships/hyperlink" Target="https://projectcatalyst.io/funds/14/cardano-open-developers/anvil-scale-the-chain-universal-merkle-bridge-poc-for-l2s" TargetMode="External"/><Relationship Id="rId107" Type="http://schemas.openxmlformats.org/officeDocument/2006/relationships/hyperlink" Target="https://projectcatalyst.io/funds/14/cardano-use-cases-partners-and-products/hypernative-real-time-security-for-cardano" TargetMode="External"/><Relationship Id="rId106" Type="http://schemas.openxmlformats.org/officeDocument/2006/relationships/hyperlink" Target="https://projectcatalyst.io/funds/14/cardano-use-cases-partners-and-products/high-yield-rwa-on-cardano-tokenized-us-real-estate" TargetMode="External"/><Relationship Id="rId105" Type="http://schemas.openxmlformats.org/officeDocument/2006/relationships/hyperlink" Target="https://projectcatalyst.io/funds/14/cardano-use-cases-partners-and-products/cardanoscan-upgrade-v3-real-time-personal-and-more-analytics" TargetMode="External"/><Relationship Id="rId104" Type="http://schemas.openxmlformats.org/officeDocument/2006/relationships/hyperlink" Target="https://projectcatalyst.io/funds/14/cardano-use-cases-partners-and-products/onchain-analytics-for-the-cardano-ecosystem" TargetMode="External"/><Relationship Id="rId109" Type="http://schemas.openxmlformats.org/officeDocument/2006/relationships/drawing" Target="../drawings/drawing6.xml"/><Relationship Id="rId108" Type="http://schemas.openxmlformats.org/officeDocument/2006/relationships/hyperlink" Target="https://projectcatalyst.io/funds/14/cardano-use-cases-partners-and-products/armenia-country-level-waste-system-with-plastiksio" TargetMode="External"/><Relationship Id="rId103" Type="http://schemas.openxmlformats.org/officeDocument/2006/relationships/hyperlink" Target="https://projectcatalyst.io/funds/14/cardano-use-cases-partners-and-products/japanese-government-funded-ai-chat-platform-with-fujitsu" TargetMode="External"/><Relationship Id="rId102" Type="http://schemas.openxmlformats.org/officeDocument/2006/relationships/hyperlink" Target="https://projectcatalyst.io/funds/14/cardano-open-developers/orcfax-live-feed-extension-latest-price-smart-contract" TargetMode="External"/><Relationship Id="rId101" Type="http://schemas.openxmlformats.org/officeDocument/2006/relationships/hyperlink" Target="https://projectcatalyst.io/funds/14/cardano-open-developers/zk-p2p-lending-with-midnight-zkps-private-loans-cardano-lib" TargetMode="External"/><Relationship Id="rId100" Type="http://schemas.openxmlformats.org/officeDocument/2006/relationships/hyperlink" Target="https://projectcatalyst.io/funds/14/cardano-open-developers/cardano-partnerchain-migrator-solana-pe-and-avalanche-subnet" TargetMode="External"/><Relationship Id="rId95" Type="http://schemas.openxmlformats.org/officeDocument/2006/relationships/hyperlink" Target="https://projectcatalyst.io/funds/14/cardano-open-developers/sidan-cardano-bar-aiken-blueprint-parser-for-vscode" TargetMode="External"/><Relationship Id="rId94" Type="http://schemas.openxmlformats.org/officeDocument/2006/relationships/hyperlink" Target="https://projectcatalyst.io/funds/14/cardano-use-cases-partners-and-products/nunet-hydra-powered-micropayments-for-depin" TargetMode="External"/><Relationship Id="rId97" Type="http://schemas.openxmlformats.org/officeDocument/2006/relationships/hyperlink" Target="https://projectcatalyst.io/funds/14/cardano-open-developers/sidan-vodka-complete-aiken-dev-utils-and-testing-framework" TargetMode="External"/><Relationship Id="rId96" Type="http://schemas.openxmlformats.org/officeDocument/2006/relationships/hyperlink" Target="https://projectcatalyst.io/funds/14/cardano-open-developers/deploy-faster-on-cardano-open-source-off-chain-engine" TargetMode="External"/><Relationship Id="rId99" Type="http://schemas.openxmlformats.org/officeDocument/2006/relationships/hyperlink" Target="https://projectcatalyst.io/funds/14/cardano-open-developers/hydra-enabled-on-chain-chatgpt-for-secure-and-high-speed-ai" TargetMode="External"/><Relationship Id="rId98" Type="http://schemas.openxmlformats.org/officeDocument/2006/relationships/hyperlink" Target="https://projectcatalyst.io/funds/14/cardano-open-developers/hydra-enterprise-os-onboarding-institutions-with-low-code" TargetMode="External"/><Relationship Id="rId91" Type="http://schemas.openxmlformats.org/officeDocument/2006/relationships/hyperlink" Target="https://projectcatalyst.io/funds/14/cardano-use-cases-partners-and-products/cardano-institutional-ux-stack-compliance-and-btc-ready-defi" TargetMode="External"/><Relationship Id="rId90" Type="http://schemas.openxmlformats.org/officeDocument/2006/relationships/hyperlink" Target="https://projectcatalyst.io/funds/14/cardano-open-developers/improving-cardano-ux-transparent-block-production-schedule" TargetMode="External"/><Relationship Id="rId93" Type="http://schemas.openxmlformats.org/officeDocument/2006/relationships/hyperlink" Target="https://projectcatalyst.io/funds/14/cardano-use-cases-partners-and-products/typhon-wallet-secure-multi-signature-support" TargetMode="External"/><Relationship Id="rId92" Type="http://schemas.openxmlformats.org/officeDocument/2006/relationships/hyperlink" Target="https://projectcatalyst.io/funds/14/cardano-use-cases-partners-and-products/usdc-usdt-perps-on-cardano-extend-strike-for-multi-chai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projectcatalyst.io/proposal/0198a45d-866d-72d3-a374-285cfbbf542f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4.0"/>
    <col customWidth="1" min="3" max="4" width="17.88"/>
    <col customWidth="1" min="5" max="5" width="11.88"/>
    <col customWidth="1" min="6" max="6" width="15.63"/>
    <col customWidth="1" min="7" max="7" width="12.25"/>
    <col customWidth="1" min="8" max="8" width="13.25"/>
    <col customWidth="1" min="9" max="9" width="2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</row>
    <row r="2">
      <c r="A2" s="7"/>
      <c r="B2" s="8"/>
      <c r="C2" s="9"/>
      <c r="D2" s="9"/>
      <c r="E2" s="10" t="str">
        <f>IF(C2&gt;Validation!$C$11,"YES","NO")</f>
        <v>#REF!</v>
      </c>
      <c r="F2" s="11">
        <v>1.0</v>
      </c>
      <c r="G2" s="12" t="str">
        <f>If(#REF!&gt;=F2,IF(E2="Yes","FUNDED","NOT FUNDED"),"NOT FUNDED")</f>
        <v>#REF!</v>
      </c>
      <c r="H2" s="13" t="str">
        <f>If(#REF!&gt;=F2,#REF!-F2,#REF!)</f>
        <v>#REF!</v>
      </c>
      <c r="I2" s="14" t="str">
        <f t="shared" ref="I2:I103" si="1">If(E2="YES",IF(G2="FUNDED","","Over Budget"),"Approval Threshold")</f>
        <v>#REF!</v>
      </c>
    </row>
    <row r="3">
      <c r="A3" s="7"/>
      <c r="B3" s="8"/>
      <c r="C3" s="9"/>
      <c r="D3" s="9"/>
      <c r="E3" s="10"/>
      <c r="F3" s="11"/>
      <c r="G3" s="12" t="str">
        <f t="shared" ref="G3:G103" si="2">If(H2&gt;=F3,IF(E3="Yes","FUNDED","NOT FUNDED"),"NOT FUNDED")</f>
        <v>#REF!</v>
      </c>
      <c r="H3" s="13" t="str">
        <f t="shared" ref="H3:H103" si="3">If(G3="FUNDED",IF(H2&gt;=F3,(H2-F3),H2),H2)</f>
        <v>#REF!</v>
      </c>
      <c r="I3" s="14" t="str">
        <f t="shared" si="1"/>
        <v>Approval Threshold</v>
      </c>
    </row>
    <row r="4">
      <c r="A4" s="7"/>
      <c r="B4" s="8"/>
      <c r="C4" s="9"/>
      <c r="D4" s="9"/>
      <c r="E4" s="10"/>
      <c r="F4" s="11"/>
      <c r="G4" s="12" t="str">
        <f t="shared" si="2"/>
        <v>#REF!</v>
      </c>
      <c r="H4" s="13" t="str">
        <f t="shared" si="3"/>
        <v>#REF!</v>
      </c>
      <c r="I4" s="14" t="str">
        <f t="shared" si="1"/>
        <v>Approval Threshold</v>
      </c>
    </row>
    <row r="5">
      <c r="A5" s="7"/>
      <c r="B5" s="8"/>
      <c r="C5" s="9"/>
      <c r="D5" s="9"/>
      <c r="E5" s="10"/>
      <c r="F5" s="11"/>
      <c r="G5" s="12" t="str">
        <f t="shared" si="2"/>
        <v>#REF!</v>
      </c>
      <c r="H5" s="13" t="str">
        <f t="shared" si="3"/>
        <v>#REF!</v>
      </c>
      <c r="I5" s="14" t="str">
        <f t="shared" si="1"/>
        <v>Approval Threshold</v>
      </c>
    </row>
    <row r="6">
      <c r="A6" s="7"/>
      <c r="B6" s="8"/>
      <c r="C6" s="9"/>
      <c r="D6" s="9"/>
      <c r="E6" s="10"/>
      <c r="F6" s="11"/>
      <c r="G6" s="12" t="str">
        <f t="shared" si="2"/>
        <v>#REF!</v>
      </c>
      <c r="H6" s="13" t="str">
        <f t="shared" si="3"/>
        <v>#REF!</v>
      </c>
      <c r="I6" s="14" t="str">
        <f t="shared" si="1"/>
        <v>Approval Threshold</v>
      </c>
    </row>
    <row r="7">
      <c r="A7" s="7"/>
      <c r="B7" s="8"/>
      <c r="C7" s="9"/>
      <c r="D7" s="9"/>
      <c r="E7" s="10"/>
      <c r="F7" s="11"/>
      <c r="G7" s="12" t="str">
        <f t="shared" si="2"/>
        <v>#REF!</v>
      </c>
      <c r="H7" s="13" t="str">
        <f t="shared" si="3"/>
        <v>#REF!</v>
      </c>
      <c r="I7" s="14" t="str">
        <f t="shared" si="1"/>
        <v>Approval Threshold</v>
      </c>
    </row>
    <row r="8">
      <c r="A8" s="7"/>
      <c r="B8" s="8"/>
      <c r="C8" s="9"/>
      <c r="D8" s="9"/>
      <c r="E8" s="10"/>
      <c r="F8" s="11"/>
      <c r="G8" s="12" t="str">
        <f t="shared" si="2"/>
        <v>#REF!</v>
      </c>
      <c r="H8" s="13" t="str">
        <f t="shared" si="3"/>
        <v>#REF!</v>
      </c>
      <c r="I8" s="14" t="str">
        <f t="shared" si="1"/>
        <v>Approval Threshold</v>
      </c>
    </row>
    <row r="9">
      <c r="A9" s="7"/>
      <c r="B9" s="8"/>
      <c r="C9" s="9"/>
      <c r="D9" s="9"/>
      <c r="E9" s="10"/>
      <c r="F9" s="11"/>
      <c r="G9" s="12" t="str">
        <f t="shared" si="2"/>
        <v>#REF!</v>
      </c>
      <c r="H9" s="13" t="str">
        <f t="shared" si="3"/>
        <v>#REF!</v>
      </c>
      <c r="I9" s="14" t="str">
        <f t="shared" si="1"/>
        <v>Approval Threshold</v>
      </c>
    </row>
    <row r="10">
      <c r="A10" s="7"/>
      <c r="B10" s="8"/>
      <c r="C10" s="9"/>
      <c r="D10" s="9"/>
      <c r="E10" s="10"/>
      <c r="F10" s="11"/>
      <c r="G10" s="12" t="str">
        <f t="shared" si="2"/>
        <v>#REF!</v>
      </c>
      <c r="H10" s="13" t="str">
        <f t="shared" si="3"/>
        <v>#REF!</v>
      </c>
      <c r="I10" s="14" t="str">
        <f t="shared" si="1"/>
        <v>Approval Threshold</v>
      </c>
    </row>
    <row r="11">
      <c r="A11" s="7"/>
      <c r="B11" s="8"/>
      <c r="C11" s="9"/>
      <c r="D11" s="9"/>
      <c r="E11" s="10"/>
      <c r="F11" s="11"/>
      <c r="G11" s="12" t="str">
        <f t="shared" si="2"/>
        <v>#REF!</v>
      </c>
      <c r="H11" s="13" t="str">
        <f t="shared" si="3"/>
        <v>#REF!</v>
      </c>
      <c r="I11" s="14" t="str">
        <f t="shared" si="1"/>
        <v>Approval Threshold</v>
      </c>
    </row>
    <row r="12">
      <c r="A12" s="7"/>
      <c r="B12" s="8"/>
      <c r="C12" s="9"/>
      <c r="D12" s="9"/>
      <c r="E12" s="10"/>
      <c r="F12" s="11"/>
      <c r="G12" s="12" t="str">
        <f t="shared" si="2"/>
        <v>#REF!</v>
      </c>
      <c r="H12" s="13" t="str">
        <f t="shared" si="3"/>
        <v>#REF!</v>
      </c>
      <c r="I12" s="14" t="str">
        <f t="shared" si="1"/>
        <v>Approval Threshold</v>
      </c>
    </row>
    <row r="13">
      <c r="A13" s="7"/>
      <c r="B13" s="8"/>
      <c r="C13" s="9"/>
      <c r="D13" s="9"/>
      <c r="E13" s="10"/>
      <c r="F13" s="11"/>
      <c r="G13" s="12" t="str">
        <f t="shared" si="2"/>
        <v>#REF!</v>
      </c>
      <c r="H13" s="13" t="str">
        <f t="shared" si="3"/>
        <v>#REF!</v>
      </c>
      <c r="I13" s="14" t="str">
        <f t="shared" si="1"/>
        <v>Approval Threshold</v>
      </c>
    </row>
    <row r="14">
      <c r="A14" s="7"/>
      <c r="B14" s="8"/>
      <c r="C14" s="9"/>
      <c r="D14" s="9"/>
      <c r="E14" s="10"/>
      <c r="F14" s="11"/>
      <c r="G14" s="12" t="str">
        <f t="shared" si="2"/>
        <v>#REF!</v>
      </c>
      <c r="H14" s="13" t="str">
        <f t="shared" si="3"/>
        <v>#REF!</v>
      </c>
      <c r="I14" s="14" t="str">
        <f t="shared" si="1"/>
        <v>Approval Threshold</v>
      </c>
    </row>
    <row r="15">
      <c r="A15" s="7"/>
      <c r="B15" s="8"/>
      <c r="C15" s="9"/>
      <c r="D15" s="9"/>
      <c r="E15" s="10"/>
      <c r="F15" s="11"/>
      <c r="G15" s="12" t="str">
        <f t="shared" si="2"/>
        <v>#REF!</v>
      </c>
      <c r="H15" s="13" t="str">
        <f t="shared" si="3"/>
        <v>#REF!</v>
      </c>
      <c r="I15" s="14" t="str">
        <f t="shared" si="1"/>
        <v>Approval Threshold</v>
      </c>
    </row>
    <row r="16">
      <c r="A16" s="7"/>
      <c r="B16" s="8"/>
      <c r="C16" s="9"/>
      <c r="D16" s="9"/>
      <c r="E16" s="10"/>
      <c r="F16" s="11"/>
      <c r="G16" s="12" t="str">
        <f t="shared" si="2"/>
        <v>#REF!</v>
      </c>
      <c r="H16" s="13" t="str">
        <f t="shared" si="3"/>
        <v>#REF!</v>
      </c>
      <c r="I16" s="14" t="str">
        <f t="shared" si="1"/>
        <v>Approval Threshold</v>
      </c>
    </row>
    <row r="17">
      <c r="A17" s="7"/>
      <c r="B17" s="8"/>
      <c r="C17" s="9"/>
      <c r="D17" s="9"/>
      <c r="E17" s="10"/>
      <c r="F17" s="11"/>
      <c r="G17" s="12" t="str">
        <f t="shared" si="2"/>
        <v>#REF!</v>
      </c>
      <c r="H17" s="13" t="str">
        <f t="shared" si="3"/>
        <v>#REF!</v>
      </c>
      <c r="I17" s="14" t="str">
        <f t="shared" si="1"/>
        <v>Approval Threshold</v>
      </c>
    </row>
    <row r="18">
      <c r="A18" s="7"/>
      <c r="B18" s="8"/>
      <c r="C18" s="9"/>
      <c r="D18" s="9"/>
      <c r="E18" s="10"/>
      <c r="F18" s="11"/>
      <c r="G18" s="12" t="str">
        <f t="shared" si="2"/>
        <v>#REF!</v>
      </c>
      <c r="H18" s="13" t="str">
        <f t="shared" si="3"/>
        <v>#REF!</v>
      </c>
      <c r="I18" s="14" t="str">
        <f t="shared" si="1"/>
        <v>Approval Threshold</v>
      </c>
    </row>
    <row r="19">
      <c r="A19" s="7"/>
      <c r="B19" s="8"/>
      <c r="C19" s="9"/>
      <c r="D19" s="9"/>
      <c r="E19" s="10"/>
      <c r="F19" s="11"/>
      <c r="G19" s="12" t="str">
        <f t="shared" si="2"/>
        <v>#REF!</v>
      </c>
      <c r="H19" s="13" t="str">
        <f t="shared" si="3"/>
        <v>#REF!</v>
      </c>
      <c r="I19" s="14" t="str">
        <f t="shared" si="1"/>
        <v>Approval Threshold</v>
      </c>
    </row>
    <row r="20">
      <c r="A20" s="7"/>
      <c r="B20" s="8"/>
      <c r="C20" s="9"/>
      <c r="D20" s="9"/>
      <c r="E20" s="10"/>
      <c r="F20" s="11"/>
      <c r="G20" s="12" t="str">
        <f t="shared" si="2"/>
        <v>#REF!</v>
      </c>
      <c r="H20" s="13" t="str">
        <f t="shared" si="3"/>
        <v>#REF!</v>
      </c>
      <c r="I20" s="14" t="str">
        <f t="shared" si="1"/>
        <v>Approval Threshold</v>
      </c>
    </row>
    <row r="21">
      <c r="A21" s="7"/>
      <c r="B21" s="8"/>
      <c r="C21" s="9"/>
      <c r="D21" s="9"/>
      <c r="E21" s="10"/>
      <c r="F21" s="11"/>
      <c r="G21" s="12" t="str">
        <f t="shared" si="2"/>
        <v>#REF!</v>
      </c>
      <c r="H21" s="13" t="str">
        <f t="shared" si="3"/>
        <v>#REF!</v>
      </c>
      <c r="I21" s="14" t="str">
        <f t="shared" si="1"/>
        <v>Approval Threshold</v>
      </c>
    </row>
    <row r="22">
      <c r="A22" s="7"/>
      <c r="B22" s="8"/>
      <c r="C22" s="9"/>
      <c r="D22" s="9"/>
      <c r="E22" s="10"/>
      <c r="F22" s="11"/>
      <c r="G22" s="12" t="str">
        <f t="shared" si="2"/>
        <v>#REF!</v>
      </c>
      <c r="H22" s="13" t="str">
        <f t="shared" si="3"/>
        <v>#REF!</v>
      </c>
      <c r="I22" s="14" t="str">
        <f t="shared" si="1"/>
        <v>Approval Threshold</v>
      </c>
    </row>
    <row r="23">
      <c r="A23" s="7"/>
      <c r="B23" s="8"/>
      <c r="C23" s="9"/>
      <c r="D23" s="9"/>
      <c r="E23" s="10"/>
      <c r="F23" s="11"/>
      <c r="G23" s="12" t="str">
        <f t="shared" si="2"/>
        <v>#REF!</v>
      </c>
      <c r="H23" s="13" t="str">
        <f t="shared" si="3"/>
        <v>#REF!</v>
      </c>
      <c r="I23" s="14" t="str">
        <f t="shared" si="1"/>
        <v>Approval Threshold</v>
      </c>
    </row>
    <row r="24">
      <c r="A24" s="7"/>
      <c r="B24" s="8"/>
      <c r="C24" s="9"/>
      <c r="D24" s="9"/>
      <c r="E24" s="10"/>
      <c r="F24" s="11"/>
      <c r="G24" s="12" t="str">
        <f t="shared" si="2"/>
        <v>#REF!</v>
      </c>
      <c r="H24" s="13" t="str">
        <f t="shared" si="3"/>
        <v>#REF!</v>
      </c>
      <c r="I24" s="14" t="str">
        <f t="shared" si="1"/>
        <v>Approval Threshold</v>
      </c>
    </row>
    <row r="25">
      <c r="A25" s="7"/>
      <c r="B25" s="8"/>
      <c r="C25" s="9"/>
      <c r="D25" s="9"/>
      <c r="E25" s="10"/>
      <c r="F25" s="11"/>
      <c r="G25" s="12" t="str">
        <f t="shared" si="2"/>
        <v>#REF!</v>
      </c>
      <c r="H25" s="13" t="str">
        <f t="shared" si="3"/>
        <v>#REF!</v>
      </c>
      <c r="I25" s="14" t="str">
        <f t="shared" si="1"/>
        <v>Approval Threshold</v>
      </c>
    </row>
    <row r="26">
      <c r="A26" s="15"/>
      <c r="B26" s="8"/>
      <c r="C26" s="9"/>
      <c r="D26" s="9"/>
      <c r="E26" s="10"/>
      <c r="F26" s="11"/>
      <c r="G26" s="12" t="str">
        <f t="shared" si="2"/>
        <v>#REF!</v>
      </c>
      <c r="H26" s="13" t="str">
        <f t="shared" si="3"/>
        <v>#REF!</v>
      </c>
      <c r="I26" s="14" t="str">
        <f t="shared" si="1"/>
        <v>Approval Threshold</v>
      </c>
    </row>
    <row r="27">
      <c r="A27" s="7"/>
      <c r="B27" s="8"/>
      <c r="C27" s="9"/>
      <c r="D27" s="9"/>
      <c r="E27" s="10"/>
      <c r="F27" s="11"/>
      <c r="G27" s="12" t="str">
        <f t="shared" si="2"/>
        <v>#REF!</v>
      </c>
      <c r="H27" s="13" t="str">
        <f t="shared" si="3"/>
        <v>#REF!</v>
      </c>
      <c r="I27" s="14" t="str">
        <f t="shared" si="1"/>
        <v>Approval Threshold</v>
      </c>
    </row>
    <row r="28">
      <c r="A28" s="7"/>
      <c r="B28" s="8"/>
      <c r="C28" s="9"/>
      <c r="D28" s="9"/>
      <c r="E28" s="10"/>
      <c r="F28" s="11"/>
      <c r="G28" s="12" t="str">
        <f t="shared" si="2"/>
        <v>#REF!</v>
      </c>
      <c r="H28" s="13" t="str">
        <f t="shared" si="3"/>
        <v>#REF!</v>
      </c>
      <c r="I28" s="14" t="str">
        <f t="shared" si="1"/>
        <v>Approval Threshold</v>
      </c>
    </row>
    <row r="29">
      <c r="A29" s="7"/>
      <c r="B29" s="8"/>
      <c r="C29" s="9"/>
      <c r="D29" s="9"/>
      <c r="E29" s="10"/>
      <c r="F29" s="11"/>
      <c r="G29" s="12" t="str">
        <f t="shared" si="2"/>
        <v>#REF!</v>
      </c>
      <c r="H29" s="13" t="str">
        <f t="shared" si="3"/>
        <v>#REF!</v>
      </c>
      <c r="I29" s="14" t="str">
        <f t="shared" si="1"/>
        <v>Approval Threshold</v>
      </c>
    </row>
    <row r="30">
      <c r="A30" s="7"/>
      <c r="B30" s="8"/>
      <c r="C30" s="9"/>
      <c r="D30" s="9"/>
      <c r="E30" s="10"/>
      <c r="F30" s="11"/>
      <c r="G30" s="12" t="str">
        <f t="shared" si="2"/>
        <v>#REF!</v>
      </c>
      <c r="H30" s="13" t="str">
        <f t="shared" si="3"/>
        <v>#REF!</v>
      </c>
      <c r="I30" s="14" t="str">
        <f t="shared" si="1"/>
        <v>Approval Threshold</v>
      </c>
    </row>
    <row r="31">
      <c r="A31" s="7"/>
      <c r="B31" s="8"/>
      <c r="C31" s="9"/>
      <c r="D31" s="9"/>
      <c r="E31" s="10"/>
      <c r="F31" s="11"/>
      <c r="G31" s="12" t="str">
        <f t="shared" si="2"/>
        <v>#REF!</v>
      </c>
      <c r="H31" s="13" t="str">
        <f t="shared" si="3"/>
        <v>#REF!</v>
      </c>
      <c r="I31" s="14" t="str">
        <f t="shared" si="1"/>
        <v>Approval Threshold</v>
      </c>
    </row>
    <row r="32">
      <c r="A32" s="7"/>
      <c r="B32" s="8"/>
      <c r="C32" s="9"/>
      <c r="D32" s="9"/>
      <c r="E32" s="10"/>
      <c r="F32" s="11"/>
      <c r="G32" s="12" t="str">
        <f t="shared" si="2"/>
        <v>#REF!</v>
      </c>
      <c r="H32" s="13" t="str">
        <f t="shared" si="3"/>
        <v>#REF!</v>
      </c>
      <c r="I32" s="14" t="str">
        <f t="shared" si="1"/>
        <v>Approval Threshold</v>
      </c>
    </row>
    <row r="33">
      <c r="A33" s="7"/>
      <c r="B33" s="8"/>
      <c r="C33" s="9"/>
      <c r="D33" s="9"/>
      <c r="E33" s="10"/>
      <c r="F33" s="11"/>
      <c r="G33" s="12" t="str">
        <f t="shared" si="2"/>
        <v>#REF!</v>
      </c>
      <c r="H33" s="13" t="str">
        <f t="shared" si="3"/>
        <v>#REF!</v>
      </c>
      <c r="I33" s="14" t="str">
        <f t="shared" si="1"/>
        <v>Approval Threshold</v>
      </c>
    </row>
    <row r="34">
      <c r="A34" s="7"/>
      <c r="B34" s="8"/>
      <c r="C34" s="9"/>
      <c r="D34" s="9"/>
      <c r="E34" s="10"/>
      <c r="F34" s="11"/>
      <c r="G34" s="12" t="str">
        <f t="shared" si="2"/>
        <v>#REF!</v>
      </c>
      <c r="H34" s="13" t="str">
        <f t="shared" si="3"/>
        <v>#REF!</v>
      </c>
      <c r="I34" s="14" t="str">
        <f t="shared" si="1"/>
        <v>Approval Threshold</v>
      </c>
    </row>
    <row r="35">
      <c r="A35" s="7"/>
      <c r="B35" s="8"/>
      <c r="C35" s="9"/>
      <c r="D35" s="9"/>
      <c r="E35" s="10"/>
      <c r="F35" s="11"/>
      <c r="G35" s="12" t="str">
        <f t="shared" si="2"/>
        <v>#REF!</v>
      </c>
      <c r="H35" s="13" t="str">
        <f t="shared" si="3"/>
        <v>#REF!</v>
      </c>
      <c r="I35" s="14" t="str">
        <f t="shared" si="1"/>
        <v>Approval Threshold</v>
      </c>
    </row>
    <row r="36">
      <c r="A36" s="7"/>
      <c r="B36" s="8"/>
      <c r="C36" s="9"/>
      <c r="D36" s="9"/>
      <c r="E36" s="10"/>
      <c r="F36" s="11"/>
      <c r="G36" s="12" t="str">
        <f t="shared" si="2"/>
        <v>#REF!</v>
      </c>
      <c r="H36" s="13" t="str">
        <f t="shared" si="3"/>
        <v>#REF!</v>
      </c>
      <c r="I36" s="14" t="str">
        <f t="shared" si="1"/>
        <v>Approval Threshold</v>
      </c>
    </row>
    <row r="37">
      <c r="A37" s="7"/>
      <c r="B37" s="8"/>
      <c r="C37" s="9"/>
      <c r="D37" s="9"/>
      <c r="E37" s="10"/>
      <c r="F37" s="11"/>
      <c r="G37" s="12" t="str">
        <f t="shared" si="2"/>
        <v>#REF!</v>
      </c>
      <c r="H37" s="13" t="str">
        <f t="shared" si="3"/>
        <v>#REF!</v>
      </c>
      <c r="I37" s="14" t="str">
        <f t="shared" si="1"/>
        <v>Approval Threshold</v>
      </c>
    </row>
    <row r="38">
      <c r="A38" s="7"/>
      <c r="B38" s="8"/>
      <c r="C38" s="9"/>
      <c r="D38" s="9"/>
      <c r="E38" s="10"/>
      <c r="F38" s="11"/>
      <c r="G38" s="12" t="str">
        <f t="shared" si="2"/>
        <v>#REF!</v>
      </c>
      <c r="H38" s="13" t="str">
        <f t="shared" si="3"/>
        <v>#REF!</v>
      </c>
      <c r="I38" s="14" t="str">
        <f t="shared" si="1"/>
        <v>Approval Threshold</v>
      </c>
    </row>
    <row r="39">
      <c r="A39" s="7"/>
      <c r="B39" s="8"/>
      <c r="C39" s="9"/>
      <c r="D39" s="9"/>
      <c r="E39" s="10"/>
      <c r="F39" s="11"/>
      <c r="G39" s="12" t="str">
        <f t="shared" si="2"/>
        <v>#REF!</v>
      </c>
      <c r="H39" s="13" t="str">
        <f t="shared" si="3"/>
        <v>#REF!</v>
      </c>
      <c r="I39" s="14" t="str">
        <f t="shared" si="1"/>
        <v>Approval Threshold</v>
      </c>
    </row>
    <row r="40">
      <c r="A40" s="7"/>
      <c r="B40" s="8"/>
      <c r="C40" s="9"/>
      <c r="D40" s="9"/>
      <c r="E40" s="10"/>
      <c r="F40" s="11"/>
      <c r="G40" s="12" t="str">
        <f t="shared" si="2"/>
        <v>#REF!</v>
      </c>
      <c r="H40" s="13" t="str">
        <f t="shared" si="3"/>
        <v>#REF!</v>
      </c>
      <c r="I40" s="14" t="str">
        <f t="shared" si="1"/>
        <v>Approval Threshold</v>
      </c>
    </row>
    <row r="41">
      <c r="A41" s="7"/>
      <c r="B41" s="8"/>
      <c r="C41" s="9"/>
      <c r="D41" s="9"/>
      <c r="E41" s="10"/>
      <c r="F41" s="11"/>
      <c r="G41" s="12" t="str">
        <f t="shared" si="2"/>
        <v>#REF!</v>
      </c>
      <c r="H41" s="13" t="str">
        <f t="shared" si="3"/>
        <v>#REF!</v>
      </c>
      <c r="I41" s="14" t="str">
        <f t="shared" si="1"/>
        <v>Approval Threshold</v>
      </c>
    </row>
    <row r="42">
      <c r="A42" s="7"/>
      <c r="B42" s="8"/>
      <c r="C42" s="9"/>
      <c r="D42" s="9"/>
      <c r="E42" s="10"/>
      <c r="F42" s="11"/>
      <c r="G42" s="12" t="str">
        <f t="shared" si="2"/>
        <v>#REF!</v>
      </c>
      <c r="H42" s="13" t="str">
        <f t="shared" si="3"/>
        <v>#REF!</v>
      </c>
      <c r="I42" s="14" t="str">
        <f t="shared" si="1"/>
        <v>Approval Threshold</v>
      </c>
    </row>
    <row r="43">
      <c r="A43" s="7"/>
      <c r="B43" s="8"/>
      <c r="C43" s="9"/>
      <c r="D43" s="9"/>
      <c r="E43" s="10"/>
      <c r="F43" s="11"/>
      <c r="G43" s="12" t="str">
        <f t="shared" si="2"/>
        <v>#REF!</v>
      </c>
      <c r="H43" s="13" t="str">
        <f t="shared" si="3"/>
        <v>#REF!</v>
      </c>
      <c r="I43" s="14" t="str">
        <f t="shared" si="1"/>
        <v>Approval Threshold</v>
      </c>
    </row>
    <row r="44">
      <c r="A44" s="7"/>
      <c r="B44" s="8"/>
      <c r="C44" s="9"/>
      <c r="D44" s="9"/>
      <c r="E44" s="10"/>
      <c r="F44" s="11"/>
      <c r="G44" s="12" t="str">
        <f t="shared" si="2"/>
        <v>#REF!</v>
      </c>
      <c r="H44" s="13" t="str">
        <f t="shared" si="3"/>
        <v>#REF!</v>
      </c>
      <c r="I44" s="14" t="str">
        <f t="shared" si="1"/>
        <v>Approval Threshold</v>
      </c>
    </row>
    <row r="45">
      <c r="A45" s="7"/>
      <c r="B45" s="16"/>
      <c r="C45" s="9"/>
      <c r="D45" s="9"/>
      <c r="E45" s="10"/>
      <c r="F45" s="11"/>
      <c r="G45" s="12" t="str">
        <f t="shared" si="2"/>
        <v>#REF!</v>
      </c>
      <c r="H45" s="13" t="str">
        <f t="shared" si="3"/>
        <v>#REF!</v>
      </c>
      <c r="I45" s="14" t="str">
        <f t="shared" si="1"/>
        <v>Approval Threshold</v>
      </c>
    </row>
    <row r="46">
      <c r="A46" s="7"/>
      <c r="B46" s="16"/>
      <c r="C46" s="9"/>
      <c r="D46" s="9"/>
      <c r="E46" s="10"/>
      <c r="F46" s="11"/>
      <c r="G46" s="12" t="str">
        <f t="shared" si="2"/>
        <v>#REF!</v>
      </c>
      <c r="H46" s="13" t="str">
        <f t="shared" si="3"/>
        <v>#REF!</v>
      </c>
      <c r="I46" s="14" t="str">
        <f t="shared" si="1"/>
        <v>Approval Threshold</v>
      </c>
    </row>
    <row r="47">
      <c r="A47" s="7"/>
      <c r="B47" s="16"/>
      <c r="C47" s="9"/>
      <c r="D47" s="9"/>
      <c r="E47" s="10"/>
      <c r="F47" s="11"/>
      <c r="G47" s="12" t="str">
        <f t="shared" si="2"/>
        <v>#REF!</v>
      </c>
      <c r="H47" s="13" t="str">
        <f t="shared" si="3"/>
        <v>#REF!</v>
      </c>
      <c r="I47" s="14" t="str">
        <f t="shared" si="1"/>
        <v>Approval Threshold</v>
      </c>
    </row>
    <row r="48">
      <c r="A48" s="7"/>
      <c r="B48" s="16"/>
      <c r="C48" s="9"/>
      <c r="D48" s="9"/>
      <c r="E48" s="10"/>
      <c r="F48" s="11"/>
      <c r="G48" s="12" t="str">
        <f t="shared" si="2"/>
        <v>#REF!</v>
      </c>
      <c r="H48" s="13" t="str">
        <f t="shared" si="3"/>
        <v>#REF!</v>
      </c>
      <c r="I48" s="14" t="str">
        <f t="shared" si="1"/>
        <v>Approval Threshold</v>
      </c>
    </row>
    <row r="49">
      <c r="A49" s="7"/>
      <c r="B49" s="16"/>
      <c r="C49" s="9"/>
      <c r="D49" s="9"/>
      <c r="E49" s="10"/>
      <c r="F49" s="11"/>
      <c r="G49" s="12" t="str">
        <f t="shared" si="2"/>
        <v>#REF!</v>
      </c>
      <c r="H49" s="13" t="str">
        <f t="shared" si="3"/>
        <v>#REF!</v>
      </c>
      <c r="I49" s="14" t="str">
        <f t="shared" si="1"/>
        <v>Approval Threshold</v>
      </c>
    </row>
    <row r="50">
      <c r="A50" s="7"/>
      <c r="B50" s="16"/>
      <c r="C50" s="9"/>
      <c r="D50" s="9"/>
      <c r="E50" s="10"/>
      <c r="F50" s="11"/>
      <c r="G50" s="12" t="str">
        <f t="shared" si="2"/>
        <v>#REF!</v>
      </c>
      <c r="H50" s="13" t="str">
        <f t="shared" si="3"/>
        <v>#REF!</v>
      </c>
      <c r="I50" s="14" t="str">
        <f t="shared" si="1"/>
        <v>Approval Threshold</v>
      </c>
    </row>
    <row r="51">
      <c r="A51" s="7"/>
      <c r="B51" s="16"/>
      <c r="C51" s="9"/>
      <c r="D51" s="9"/>
      <c r="E51" s="10"/>
      <c r="F51" s="11"/>
      <c r="G51" s="12" t="str">
        <f t="shared" si="2"/>
        <v>#REF!</v>
      </c>
      <c r="H51" s="13" t="str">
        <f t="shared" si="3"/>
        <v>#REF!</v>
      </c>
      <c r="I51" s="14" t="str">
        <f t="shared" si="1"/>
        <v>Approval Threshold</v>
      </c>
    </row>
    <row r="52">
      <c r="A52" s="7"/>
      <c r="B52" s="16"/>
      <c r="C52" s="9"/>
      <c r="D52" s="9"/>
      <c r="E52" s="10"/>
      <c r="F52" s="11"/>
      <c r="G52" s="12" t="str">
        <f t="shared" si="2"/>
        <v>#REF!</v>
      </c>
      <c r="H52" s="13" t="str">
        <f t="shared" si="3"/>
        <v>#REF!</v>
      </c>
      <c r="I52" s="14" t="str">
        <f t="shared" si="1"/>
        <v>Approval Threshold</v>
      </c>
    </row>
    <row r="53">
      <c r="A53" s="7"/>
      <c r="B53" s="16"/>
      <c r="C53" s="9"/>
      <c r="D53" s="9"/>
      <c r="E53" s="10"/>
      <c r="F53" s="11"/>
      <c r="G53" s="12" t="str">
        <f t="shared" si="2"/>
        <v>#REF!</v>
      </c>
      <c r="H53" s="13" t="str">
        <f t="shared" si="3"/>
        <v>#REF!</v>
      </c>
      <c r="I53" s="14" t="str">
        <f t="shared" si="1"/>
        <v>Approval Threshold</v>
      </c>
    </row>
    <row r="54">
      <c r="A54" s="7"/>
      <c r="B54" s="16"/>
      <c r="C54" s="9"/>
      <c r="D54" s="9"/>
      <c r="E54" s="10"/>
      <c r="F54" s="11"/>
      <c r="G54" s="12" t="str">
        <f t="shared" si="2"/>
        <v>#REF!</v>
      </c>
      <c r="H54" s="13" t="str">
        <f t="shared" si="3"/>
        <v>#REF!</v>
      </c>
      <c r="I54" s="14" t="str">
        <f t="shared" si="1"/>
        <v>Approval Threshold</v>
      </c>
    </row>
    <row r="55">
      <c r="A55" s="7"/>
      <c r="B55" s="16"/>
      <c r="C55" s="9"/>
      <c r="D55" s="9"/>
      <c r="E55" s="10"/>
      <c r="F55" s="11"/>
      <c r="G55" s="12" t="str">
        <f t="shared" si="2"/>
        <v>#REF!</v>
      </c>
      <c r="H55" s="13" t="str">
        <f t="shared" si="3"/>
        <v>#REF!</v>
      </c>
      <c r="I55" s="14" t="str">
        <f t="shared" si="1"/>
        <v>Approval Threshold</v>
      </c>
    </row>
    <row r="56">
      <c r="A56" s="7"/>
      <c r="B56" s="16"/>
      <c r="C56" s="9"/>
      <c r="D56" s="9"/>
      <c r="E56" s="10"/>
      <c r="F56" s="11"/>
      <c r="G56" s="12" t="str">
        <f t="shared" si="2"/>
        <v>#REF!</v>
      </c>
      <c r="H56" s="13" t="str">
        <f t="shared" si="3"/>
        <v>#REF!</v>
      </c>
      <c r="I56" s="14" t="str">
        <f t="shared" si="1"/>
        <v>Approval Threshold</v>
      </c>
    </row>
    <row r="57">
      <c r="A57" s="7"/>
      <c r="B57" s="16"/>
      <c r="C57" s="9"/>
      <c r="D57" s="9"/>
      <c r="E57" s="10"/>
      <c r="F57" s="11"/>
      <c r="G57" s="12" t="str">
        <f t="shared" si="2"/>
        <v>#REF!</v>
      </c>
      <c r="H57" s="13" t="str">
        <f t="shared" si="3"/>
        <v>#REF!</v>
      </c>
      <c r="I57" s="14" t="str">
        <f t="shared" si="1"/>
        <v>Approval Threshold</v>
      </c>
    </row>
    <row r="58">
      <c r="A58" s="7"/>
      <c r="B58" s="16"/>
      <c r="C58" s="9"/>
      <c r="D58" s="9"/>
      <c r="E58" s="10"/>
      <c r="F58" s="11"/>
      <c r="G58" s="12" t="str">
        <f t="shared" si="2"/>
        <v>#REF!</v>
      </c>
      <c r="H58" s="13" t="str">
        <f t="shared" si="3"/>
        <v>#REF!</v>
      </c>
      <c r="I58" s="14" t="str">
        <f t="shared" si="1"/>
        <v>Approval Threshold</v>
      </c>
    </row>
    <row r="59">
      <c r="A59" s="7"/>
      <c r="B59" s="16"/>
      <c r="C59" s="9"/>
      <c r="D59" s="9"/>
      <c r="E59" s="10"/>
      <c r="F59" s="11"/>
      <c r="G59" s="12" t="str">
        <f t="shared" si="2"/>
        <v>#REF!</v>
      </c>
      <c r="H59" s="13" t="str">
        <f t="shared" si="3"/>
        <v>#REF!</v>
      </c>
      <c r="I59" s="14" t="str">
        <f t="shared" si="1"/>
        <v>Approval Threshold</v>
      </c>
    </row>
    <row r="60">
      <c r="A60" s="7"/>
      <c r="B60" s="16"/>
      <c r="C60" s="9"/>
      <c r="D60" s="9"/>
      <c r="E60" s="10"/>
      <c r="F60" s="11"/>
      <c r="G60" s="12" t="str">
        <f t="shared" si="2"/>
        <v>#REF!</v>
      </c>
      <c r="H60" s="13" t="str">
        <f t="shared" si="3"/>
        <v>#REF!</v>
      </c>
      <c r="I60" s="14" t="str">
        <f t="shared" si="1"/>
        <v>Approval Threshold</v>
      </c>
    </row>
    <row r="61">
      <c r="A61" s="7"/>
      <c r="B61" s="16"/>
      <c r="C61" s="9"/>
      <c r="D61" s="9"/>
      <c r="E61" s="10"/>
      <c r="F61" s="11"/>
      <c r="G61" s="12" t="str">
        <f t="shared" si="2"/>
        <v>#REF!</v>
      </c>
      <c r="H61" s="13" t="str">
        <f t="shared" si="3"/>
        <v>#REF!</v>
      </c>
      <c r="I61" s="14" t="str">
        <f t="shared" si="1"/>
        <v>Approval Threshold</v>
      </c>
    </row>
    <row r="62">
      <c r="A62" s="7"/>
      <c r="B62" s="16"/>
      <c r="C62" s="9"/>
      <c r="D62" s="9"/>
      <c r="E62" s="10"/>
      <c r="F62" s="11"/>
      <c r="G62" s="12" t="str">
        <f t="shared" si="2"/>
        <v>#REF!</v>
      </c>
      <c r="H62" s="13" t="str">
        <f t="shared" si="3"/>
        <v>#REF!</v>
      </c>
      <c r="I62" s="14" t="str">
        <f t="shared" si="1"/>
        <v>Approval Threshold</v>
      </c>
    </row>
    <row r="63">
      <c r="A63" s="7"/>
      <c r="B63" s="16"/>
      <c r="C63" s="9"/>
      <c r="D63" s="9"/>
      <c r="E63" s="10"/>
      <c r="F63" s="11"/>
      <c r="G63" s="12" t="str">
        <f t="shared" si="2"/>
        <v>#REF!</v>
      </c>
      <c r="H63" s="13" t="str">
        <f t="shared" si="3"/>
        <v>#REF!</v>
      </c>
      <c r="I63" s="14" t="str">
        <f t="shared" si="1"/>
        <v>Approval Threshold</v>
      </c>
    </row>
    <row r="64">
      <c r="A64" s="7"/>
      <c r="B64" s="16"/>
      <c r="C64" s="9"/>
      <c r="D64" s="9"/>
      <c r="E64" s="10"/>
      <c r="F64" s="11"/>
      <c r="G64" s="12" t="str">
        <f t="shared" si="2"/>
        <v>#REF!</v>
      </c>
      <c r="H64" s="13" t="str">
        <f t="shared" si="3"/>
        <v>#REF!</v>
      </c>
      <c r="I64" s="14" t="str">
        <f t="shared" si="1"/>
        <v>Approval Threshold</v>
      </c>
    </row>
    <row r="65">
      <c r="A65" s="7"/>
      <c r="B65" s="16"/>
      <c r="C65" s="9"/>
      <c r="D65" s="9"/>
      <c r="E65" s="10"/>
      <c r="F65" s="11"/>
      <c r="G65" s="12" t="str">
        <f t="shared" si="2"/>
        <v>#REF!</v>
      </c>
      <c r="H65" s="13" t="str">
        <f t="shared" si="3"/>
        <v>#REF!</v>
      </c>
      <c r="I65" s="14" t="str">
        <f t="shared" si="1"/>
        <v>Approval Threshold</v>
      </c>
    </row>
    <row r="66">
      <c r="A66" s="7"/>
      <c r="B66" s="16"/>
      <c r="C66" s="9"/>
      <c r="D66" s="9"/>
      <c r="E66" s="10"/>
      <c r="F66" s="11"/>
      <c r="G66" s="12" t="str">
        <f t="shared" si="2"/>
        <v>#REF!</v>
      </c>
      <c r="H66" s="13" t="str">
        <f t="shared" si="3"/>
        <v>#REF!</v>
      </c>
      <c r="I66" s="14" t="str">
        <f t="shared" si="1"/>
        <v>Approval Threshold</v>
      </c>
    </row>
    <row r="67">
      <c r="A67" s="7"/>
      <c r="B67" s="16"/>
      <c r="C67" s="9"/>
      <c r="D67" s="9"/>
      <c r="E67" s="10"/>
      <c r="F67" s="11"/>
      <c r="G67" s="12" t="str">
        <f t="shared" si="2"/>
        <v>#REF!</v>
      </c>
      <c r="H67" s="13" t="str">
        <f t="shared" si="3"/>
        <v>#REF!</v>
      </c>
      <c r="I67" s="14" t="str">
        <f t="shared" si="1"/>
        <v>Approval Threshold</v>
      </c>
    </row>
    <row r="68">
      <c r="A68" s="7"/>
      <c r="B68" s="16"/>
      <c r="C68" s="9"/>
      <c r="D68" s="9"/>
      <c r="E68" s="10"/>
      <c r="F68" s="11"/>
      <c r="G68" s="12" t="str">
        <f t="shared" si="2"/>
        <v>#REF!</v>
      </c>
      <c r="H68" s="13" t="str">
        <f t="shared" si="3"/>
        <v>#REF!</v>
      </c>
      <c r="I68" s="14" t="str">
        <f t="shared" si="1"/>
        <v>Approval Threshold</v>
      </c>
    </row>
    <row r="69">
      <c r="A69" s="7"/>
      <c r="B69" s="16"/>
      <c r="C69" s="9"/>
      <c r="D69" s="9"/>
      <c r="E69" s="10"/>
      <c r="F69" s="11"/>
      <c r="G69" s="12" t="str">
        <f t="shared" si="2"/>
        <v>#REF!</v>
      </c>
      <c r="H69" s="13" t="str">
        <f t="shared" si="3"/>
        <v>#REF!</v>
      </c>
      <c r="I69" s="14" t="str">
        <f t="shared" si="1"/>
        <v>Approval Threshold</v>
      </c>
    </row>
    <row r="70">
      <c r="A70" s="7"/>
      <c r="B70" s="16"/>
      <c r="C70" s="9"/>
      <c r="D70" s="9"/>
      <c r="E70" s="10"/>
      <c r="F70" s="11"/>
      <c r="G70" s="12" t="str">
        <f t="shared" si="2"/>
        <v>#REF!</v>
      </c>
      <c r="H70" s="13" t="str">
        <f t="shared" si="3"/>
        <v>#REF!</v>
      </c>
      <c r="I70" s="14" t="str">
        <f t="shared" si="1"/>
        <v>Approval Threshold</v>
      </c>
    </row>
    <row r="71">
      <c r="A71" s="7"/>
      <c r="B71" s="16"/>
      <c r="C71" s="9"/>
      <c r="D71" s="9"/>
      <c r="E71" s="10"/>
      <c r="F71" s="11"/>
      <c r="G71" s="12" t="str">
        <f t="shared" si="2"/>
        <v>#REF!</v>
      </c>
      <c r="H71" s="13" t="str">
        <f t="shared" si="3"/>
        <v>#REF!</v>
      </c>
      <c r="I71" s="14" t="str">
        <f t="shared" si="1"/>
        <v>Approval Threshold</v>
      </c>
    </row>
    <row r="72">
      <c r="A72" s="7"/>
      <c r="B72" s="16"/>
      <c r="C72" s="9"/>
      <c r="D72" s="9"/>
      <c r="E72" s="10"/>
      <c r="F72" s="11"/>
      <c r="G72" s="12" t="str">
        <f t="shared" si="2"/>
        <v>#REF!</v>
      </c>
      <c r="H72" s="13" t="str">
        <f t="shared" si="3"/>
        <v>#REF!</v>
      </c>
      <c r="I72" s="14" t="str">
        <f t="shared" si="1"/>
        <v>Approval Threshold</v>
      </c>
    </row>
    <row r="73">
      <c r="A73" s="7"/>
      <c r="B73" s="16"/>
      <c r="C73" s="9"/>
      <c r="D73" s="9"/>
      <c r="E73" s="10"/>
      <c r="F73" s="11"/>
      <c r="G73" s="12" t="str">
        <f t="shared" si="2"/>
        <v>#REF!</v>
      </c>
      <c r="H73" s="13" t="str">
        <f t="shared" si="3"/>
        <v>#REF!</v>
      </c>
      <c r="I73" s="14" t="str">
        <f t="shared" si="1"/>
        <v>Approval Threshold</v>
      </c>
    </row>
    <row r="74">
      <c r="A74" s="7"/>
      <c r="B74" s="16"/>
      <c r="C74" s="9"/>
      <c r="D74" s="9"/>
      <c r="E74" s="10"/>
      <c r="F74" s="11"/>
      <c r="G74" s="12" t="str">
        <f t="shared" si="2"/>
        <v>#REF!</v>
      </c>
      <c r="H74" s="13" t="str">
        <f t="shared" si="3"/>
        <v>#REF!</v>
      </c>
      <c r="I74" s="14" t="str">
        <f t="shared" si="1"/>
        <v>Approval Threshold</v>
      </c>
    </row>
    <row r="75">
      <c r="A75" s="7"/>
      <c r="B75" s="16"/>
      <c r="C75" s="9"/>
      <c r="D75" s="9"/>
      <c r="E75" s="10"/>
      <c r="F75" s="11"/>
      <c r="G75" s="12" t="str">
        <f t="shared" si="2"/>
        <v>#REF!</v>
      </c>
      <c r="H75" s="13" t="str">
        <f t="shared" si="3"/>
        <v>#REF!</v>
      </c>
      <c r="I75" s="14" t="str">
        <f t="shared" si="1"/>
        <v>Approval Threshold</v>
      </c>
    </row>
    <row r="76">
      <c r="A76" s="7"/>
      <c r="B76" s="16"/>
      <c r="C76" s="9"/>
      <c r="D76" s="9"/>
      <c r="E76" s="10"/>
      <c r="F76" s="11"/>
      <c r="G76" s="12" t="str">
        <f t="shared" si="2"/>
        <v>#REF!</v>
      </c>
      <c r="H76" s="13" t="str">
        <f t="shared" si="3"/>
        <v>#REF!</v>
      </c>
      <c r="I76" s="14" t="str">
        <f t="shared" si="1"/>
        <v>Approval Threshold</v>
      </c>
    </row>
    <row r="77">
      <c r="A77" s="7"/>
      <c r="B77" s="16"/>
      <c r="C77" s="9"/>
      <c r="D77" s="9"/>
      <c r="E77" s="10"/>
      <c r="F77" s="11"/>
      <c r="G77" s="12" t="str">
        <f t="shared" si="2"/>
        <v>#REF!</v>
      </c>
      <c r="H77" s="13" t="str">
        <f t="shared" si="3"/>
        <v>#REF!</v>
      </c>
      <c r="I77" s="14" t="str">
        <f t="shared" si="1"/>
        <v>Approval Threshold</v>
      </c>
    </row>
    <row r="78">
      <c r="A78" s="7"/>
      <c r="B78" s="16"/>
      <c r="C78" s="9"/>
      <c r="D78" s="9"/>
      <c r="E78" s="10"/>
      <c r="F78" s="11"/>
      <c r="G78" s="12" t="str">
        <f t="shared" si="2"/>
        <v>#REF!</v>
      </c>
      <c r="H78" s="13" t="str">
        <f t="shared" si="3"/>
        <v>#REF!</v>
      </c>
      <c r="I78" s="14" t="str">
        <f t="shared" si="1"/>
        <v>Approval Threshold</v>
      </c>
    </row>
    <row r="79">
      <c r="A79" s="7"/>
      <c r="B79" s="16"/>
      <c r="C79" s="9"/>
      <c r="D79" s="9"/>
      <c r="E79" s="10"/>
      <c r="F79" s="11"/>
      <c r="G79" s="12" t="str">
        <f t="shared" si="2"/>
        <v>#REF!</v>
      </c>
      <c r="H79" s="13" t="str">
        <f t="shared" si="3"/>
        <v>#REF!</v>
      </c>
      <c r="I79" s="14" t="str">
        <f t="shared" si="1"/>
        <v>Approval Threshold</v>
      </c>
    </row>
    <row r="80">
      <c r="A80" s="7"/>
      <c r="B80" s="16"/>
      <c r="C80" s="9"/>
      <c r="D80" s="9"/>
      <c r="E80" s="10"/>
      <c r="F80" s="11"/>
      <c r="G80" s="12" t="str">
        <f t="shared" si="2"/>
        <v>#REF!</v>
      </c>
      <c r="H80" s="13" t="str">
        <f t="shared" si="3"/>
        <v>#REF!</v>
      </c>
      <c r="I80" s="14" t="str">
        <f t="shared" si="1"/>
        <v>Approval Threshold</v>
      </c>
    </row>
    <row r="81">
      <c r="A81" s="7"/>
      <c r="B81" s="16"/>
      <c r="C81" s="9"/>
      <c r="D81" s="9"/>
      <c r="E81" s="10"/>
      <c r="F81" s="11"/>
      <c r="G81" s="12" t="str">
        <f t="shared" si="2"/>
        <v>#REF!</v>
      </c>
      <c r="H81" s="13" t="str">
        <f t="shared" si="3"/>
        <v>#REF!</v>
      </c>
      <c r="I81" s="14" t="str">
        <f t="shared" si="1"/>
        <v>Approval Threshold</v>
      </c>
    </row>
    <row r="82">
      <c r="A82" s="7"/>
      <c r="B82" s="16"/>
      <c r="C82" s="9"/>
      <c r="D82" s="9"/>
      <c r="E82" s="10"/>
      <c r="F82" s="11"/>
      <c r="G82" s="12" t="str">
        <f t="shared" si="2"/>
        <v>#REF!</v>
      </c>
      <c r="H82" s="13" t="str">
        <f t="shared" si="3"/>
        <v>#REF!</v>
      </c>
      <c r="I82" s="14" t="str">
        <f t="shared" si="1"/>
        <v>Approval Threshold</v>
      </c>
    </row>
    <row r="83">
      <c r="A83" s="7"/>
      <c r="B83" s="16"/>
      <c r="C83" s="9"/>
      <c r="D83" s="9"/>
      <c r="E83" s="10"/>
      <c r="F83" s="11"/>
      <c r="G83" s="12" t="str">
        <f t="shared" si="2"/>
        <v>#REF!</v>
      </c>
      <c r="H83" s="13" t="str">
        <f t="shared" si="3"/>
        <v>#REF!</v>
      </c>
      <c r="I83" s="14" t="str">
        <f t="shared" si="1"/>
        <v>Approval Threshold</v>
      </c>
    </row>
    <row r="84">
      <c r="A84" s="7"/>
      <c r="B84" s="16"/>
      <c r="C84" s="9"/>
      <c r="D84" s="9"/>
      <c r="E84" s="10"/>
      <c r="F84" s="11"/>
      <c r="G84" s="12" t="str">
        <f t="shared" si="2"/>
        <v>#REF!</v>
      </c>
      <c r="H84" s="13" t="str">
        <f t="shared" si="3"/>
        <v>#REF!</v>
      </c>
      <c r="I84" s="14" t="str">
        <f t="shared" si="1"/>
        <v>Approval Threshold</v>
      </c>
    </row>
    <row r="85">
      <c r="A85" s="7"/>
      <c r="B85" s="16"/>
      <c r="C85" s="9"/>
      <c r="D85" s="9"/>
      <c r="E85" s="10"/>
      <c r="F85" s="11"/>
      <c r="G85" s="12" t="str">
        <f t="shared" si="2"/>
        <v>#REF!</v>
      </c>
      <c r="H85" s="13" t="str">
        <f t="shared" si="3"/>
        <v>#REF!</v>
      </c>
      <c r="I85" s="14" t="str">
        <f t="shared" si="1"/>
        <v>Approval Threshold</v>
      </c>
    </row>
    <row r="86">
      <c r="A86" s="7"/>
      <c r="B86" s="16"/>
      <c r="C86" s="9"/>
      <c r="D86" s="9"/>
      <c r="E86" s="10"/>
      <c r="F86" s="11"/>
      <c r="G86" s="12" t="str">
        <f t="shared" si="2"/>
        <v>#REF!</v>
      </c>
      <c r="H86" s="13" t="str">
        <f t="shared" si="3"/>
        <v>#REF!</v>
      </c>
      <c r="I86" s="14" t="str">
        <f t="shared" si="1"/>
        <v>Approval Threshold</v>
      </c>
    </row>
    <row r="87">
      <c r="A87" s="7"/>
      <c r="B87" s="16"/>
      <c r="C87" s="9"/>
      <c r="D87" s="9"/>
      <c r="E87" s="10"/>
      <c r="F87" s="11"/>
      <c r="G87" s="12" t="str">
        <f t="shared" si="2"/>
        <v>#REF!</v>
      </c>
      <c r="H87" s="13" t="str">
        <f t="shared" si="3"/>
        <v>#REF!</v>
      </c>
      <c r="I87" s="14" t="str">
        <f t="shared" si="1"/>
        <v>Approval Threshold</v>
      </c>
    </row>
    <row r="88">
      <c r="A88" s="7"/>
      <c r="B88" s="16"/>
      <c r="C88" s="9"/>
      <c r="D88" s="9"/>
      <c r="E88" s="10"/>
      <c r="F88" s="11"/>
      <c r="G88" s="12" t="str">
        <f t="shared" si="2"/>
        <v>#REF!</v>
      </c>
      <c r="H88" s="13" t="str">
        <f t="shared" si="3"/>
        <v>#REF!</v>
      </c>
      <c r="I88" s="14" t="str">
        <f t="shared" si="1"/>
        <v>Approval Threshold</v>
      </c>
    </row>
    <row r="89">
      <c r="A89" s="7"/>
      <c r="B89" s="16"/>
      <c r="C89" s="9"/>
      <c r="D89" s="9"/>
      <c r="E89" s="10"/>
      <c r="F89" s="11"/>
      <c r="G89" s="12" t="str">
        <f t="shared" si="2"/>
        <v>#REF!</v>
      </c>
      <c r="H89" s="13" t="str">
        <f t="shared" si="3"/>
        <v>#REF!</v>
      </c>
      <c r="I89" s="14" t="str">
        <f t="shared" si="1"/>
        <v>Approval Threshold</v>
      </c>
    </row>
    <row r="90">
      <c r="A90" s="7"/>
      <c r="B90" s="16"/>
      <c r="C90" s="9"/>
      <c r="D90" s="9"/>
      <c r="E90" s="10"/>
      <c r="F90" s="11"/>
      <c r="G90" s="12" t="str">
        <f t="shared" si="2"/>
        <v>#REF!</v>
      </c>
      <c r="H90" s="13" t="str">
        <f t="shared" si="3"/>
        <v>#REF!</v>
      </c>
      <c r="I90" s="14" t="str">
        <f t="shared" si="1"/>
        <v>Approval Threshold</v>
      </c>
    </row>
    <row r="91">
      <c r="A91" s="7"/>
      <c r="B91" s="16"/>
      <c r="C91" s="9"/>
      <c r="D91" s="9"/>
      <c r="E91" s="10"/>
      <c r="F91" s="11"/>
      <c r="G91" s="12" t="str">
        <f t="shared" si="2"/>
        <v>#REF!</v>
      </c>
      <c r="H91" s="13" t="str">
        <f t="shared" si="3"/>
        <v>#REF!</v>
      </c>
      <c r="I91" s="14" t="str">
        <f t="shared" si="1"/>
        <v>Approval Threshold</v>
      </c>
    </row>
    <row r="92">
      <c r="A92" s="7"/>
      <c r="B92" s="16"/>
      <c r="C92" s="9"/>
      <c r="D92" s="9"/>
      <c r="E92" s="10"/>
      <c r="F92" s="11"/>
      <c r="G92" s="12" t="str">
        <f t="shared" si="2"/>
        <v>#REF!</v>
      </c>
      <c r="H92" s="13" t="str">
        <f t="shared" si="3"/>
        <v>#REF!</v>
      </c>
      <c r="I92" s="14" t="str">
        <f t="shared" si="1"/>
        <v>Approval Threshold</v>
      </c>
    </row>
    <row r="93">
      <c r="A93" s="7"/>
      <c r="B93" s="16"/>
      <c r="C93" s="9"/>
      <c r="D93" s="9"/>
      <c r="E93" s="10"/>
      <c r="F93" s="11"/>
      <c r="G93" s="12" t="str">
        <f t="shared" si="2"/>
        <v>#REF!</v>
      </c>
      <c r="H93" s="13" t="str">
        <f t="shared" si="3"/>
        <v>#REF!</v>
      </c>
      <c r="I93" s="14" t="str">
        <f t="shared" si="1"/>
        <v>Approval Threshold</v>
      </c>
    </row>
    <row r="94">
      <c r="A94" s="7"/>
      <c r="B94" s="16"/>
      <c r="C94" s="9"/>
      <c r="D94" s="9"/>
      <c r="E94" s="10"/>
      <c r="F94" s="11"/>
      <c r="G94" s="12" t="str">
        <f t="shared" si="2"/>
        <v>#REF!</v>
      </c>
      <c r="H94" s="13" t="str">
        <f t="shared" si="3"/>
        <v>#REF!</v>
      </c>
      <c r="I94" s="14" t="str">
        <f t="shared" si="1"/>
        <v>Approval Threshold</v>
      </c>
    </row>
    <row r="95">
      <c r="A95" s="7"/>
      <c r="B95" s="16"/>
      <c r="C95" s="9"/>
      <c r="D95" s="9"/>
      <c r="E95" s="10"/>
      <c r="F95" s="11"/>
      <c r="G95" s="12" t="str">
        <f t="shared" si="2"/>
        <v>#REF!</v>
      </c>
      <c r="H95" s="13" t="str">
        <f t="shared" si="3"/>
        <v>#REF!</v>
      </c>
      <c r="I95" s="14" t="str">
        <f t="shared" si="1"/>
        <v>Approval Threshold</v>
      </c>
    </row>
    <row r="96">
      <c r="A96" s="7"/>
      <c r="B96" s="16"/>
      <c r="C96" s="9"/>
      <c r="D96" s="9"/>
      <c r="E96" s="10"/>
      <c r="F96" s="11"/>
      <c r="G96" s="12" t="str">
        <f t="shared" si="2"/>
        <v>#REF!</v>
      </c>
      <c r="H96" s="13" t="str">
        <f t="shared" si="3"/>
        <v>#REF!</v>
      </c>
      <c r="I96" s="14" t="str">
        <f t="shared" si="1"/>
        <v>Approval Threshold</v>
      </c>
    </row>
    <row r="97">
      <c r="A97" s="7"/>
      <c r="B97" s="16"/>
      <c r="C97" s="9"/>
      <c r="D97" s="9"/>
      <c r="E97" s="10"/>
      <c r="F97" s="11"/>
      <c r="G97" s="12" t="str">
        <f t="shared" si="2"/>
        <v>#REF!</v>
      </c>
      <c r="H97" s="13" t="str">
        <f t="shared" si="3"/>
        <v>#REF!</v>
      </c>
      <c r="I97" s="14" t="str">
        <f t="shared" si="1"/>
        <v>Approval Threshold</v>
      </c>
    </row>
    <row r="98">
      <c r="A98" s="7"/>
      <c r="B98" s="16"/>
      <c r="C98" s="9"/>
      <c r="D98" s="9"/>
      <c r="E98" s="10"/>
      <c r="F98" s="11"/>
      <c r="G98" s="12" t="str">
        <f t="shared" si="2"/>
        <v>#REF!</v>
      </c>
      <c r="H98" s="13" t="str">
        <f t="shared" si="3"/>
        <v>#REF!</v>
      </c>
      <c r="I98" s="14" t="str">
        <f t="shared" si="1"/>
        <v>Approval Threshold</v>
      </c>
    </row>
    <row r="99">
      <c r="A99" s="7"/>
      <c r="B99" s="16"/>
      <c r="C99" s="9"/>
      <c r="D99" s="9"/>
      <c r="E99" s="10"/>
      <c r="F99" s="11"/>
      <c r="G99" s="12" t="str">
        <f t="shared" si="2"/>
        <v>#REF!</v>
      </c>
      <c r="H99" s="13" t="str">
        <f t="shared" si="3"/>
        <v>#REF!</v>
      </c>
      <c r="I99" s="14" t="str">
        <f t="shared" si="1"/>
        <v>Approval Threshold</v>
      </c>
    </row>
    <row r="100">
      <c r="A100" s="7"/>
      <c r="B100" s="16"/>
      <c r="C100" s="9"/>
      <c r="D100" s="9"/>
      <c r="E100" s="10"/>
      <c r="F100" s="11"/>
      <c r="G100" s="12" t="str">
        <f t="shared" si="2"/>
        <v>#REF!</v>
      </c>
      <c r="H100" s="13" t="str">
        <f t="shared" si="3"/>
        <v>#REF!</v>
      </c>
      <c r="I100" s="14" t="str">
        <f t="shared" si="1"/>
        <v>Approval Threshold</v>
      </c>
    </row>
    <row r="101">
      <c r="A101" s="7"/>
      <c r="B101" s="16"/>
      <c r="C101" s="9"/>
      <c r="D101" s="9"/>
      <c r="E101" s="10"/>
      <c r="F101" s="11"/>
      <c r="G101" s="12" t="str">
        <f t="shared" si="2"/>
        <v>#REF!</v>
      </c>
      <c r="H101" s="13" t="str">
        <f t="shared" si="3"/>
        <v>#REF!</v>
      </c>
      <c r="I101" s="14" t="str">
        <f t="shared" si="1"/>
        <v>Approval Threshold</v>
      </c>
    </row>
    <row r="102">
      <c r="A102" s="7"/>
      <c r="B102" s="16"/>
      <c r="C102" s="9"/>
      <c r="D102" s="9"/>
      <c r="E102" s="10"/>
      <c r="F102" s="11"/>
      <c r="G102" s="12" t="str">
        <f t="shared" si="2"/>
        <v>#REF!</v>
      </c>
      <c r="H102" s="13" t="str">
        <f t="shared" si="3"/>
        <v>#REF!</v>
      </c>
      <c r="I102" s="14" t="str">
        <f t="shared" si="1"/>
        <v>Approval Threshold</v>
      </c>
    </row>
    <row r="103">
      <c r="A103" s="7"/>
      <c r="B103" s="16"/>
      <c r="C103" s="9"/>
      <c r="D103" s="9"/>
      <c r="E103" s="10"/>
      <c r="F103" s="11"/>
      <c r="G103" s="12" t="str">
        <f t="shared" si="2"/>
        <v>#REF!</v>
      </c>
      <c r="H103" s="13" t="str">
        <f t="shared" si="3"/>
        <v>#REF!</v>
      </c>
      <c r="I103" s="14" t="str">
        <f t="shared" si="1"/>
        <v>Approval Threshold</v>
      </c>
    </row>
  </sheetData>
  <autoFilter ref="$A$1:$F$103">
    <sortState ref="A1:F103">
      <sortCondition ref="A1:A103"/>
    </sortState>
  </autoFilter>
  <conditionalFormatting sqref="G2:G103">
    <cfRule type="cellIs" dxfId="0" priority="1" operator="equal">
      <formula>"FUNDED"</formula>
    </cfRule>
  </conditionalFormatting>
  <conditionalFormatting sqref="G2:G103">
    <cfRule type="cellIs" dxfId="1" priority="2" operator="equal">
      <formula>"NOT FUNDED"</formula>
    </cfRule>
  </conditionalFormatting>
  <conditionalFormatting sqref="I2:I103">
    <cfRule type="cellIs" dxfId="0" priority="3" operator="greaterThan">
      <formula>999</formula>
    </cfRule>
  </conditionalFormatting>
  <conditionalFormatting sqref="I2:I103">
    <cfRule type="cellIs" dxfId="0" priority="4" operator="greaterThan">
      <formula>999</formula>
    </cfRule>
  </conditionalFormatting>
  <conditionalFormatting sqref="I2:I103">
    <cfRule type="containsText" dxfId="1" priority="5" operator="containsText" text="NOT FUNDED">
      <formula>NOT(ISERROR(SEARCH(("NOT FUNDED"),(I2))))</formula>
    </cfRule>
  </conditionalFormatting>
  <conditionalFormatting sqref="I2:I103">
    <cfRule type="cellIs" dxfId="2" priority="6" operator="equal">
      <formula>"Over Budget"</formula>
    </cfRule>
  </conditionalFormatting>
  <conditionalFormatting sqref="I2:I103">
    <cfRule type="cellIs" dxfId="1" priority="7" operator="equal">
      <formula>"Approval Threshold"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4.0"/>
    <col customWidth="1" min="3" max="4" width="17.88"/>
    <col customWidth="1" min="5" max="5" width="11.88"/>
    <col customWidth="1" min="6" max="6" width="15.63"/>
    <col customWidth="1" min="7" max="7" width="12.25"/>
    <col customWidth="1" min="8" max="8" width="13.25"/>
    <col customWidth="1" min="9" max="9" width="2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7" t="s">
        <v>7</v>
      </c>
      <c r="I1" s="6" t="s">
        <v>8</v>
      </c>
    </row>
    <row r="2">
      <c r="A2" s="18" t="s">
        <v>9</v>
      </c>
      <c r="B2" s="8">
        <v>585.0</v>
      </c>
      <c r="C2" s="9">
        <v>2.5653342E8</v>
      </c>
      <c r="D2" s="9">
        <v>2.8590646E7</v>
      </c>
      <c r="E2" s="10" t="str">
        <f>IF(C2&gt;percent,"YES","NO")</f>
        <v>YES</v>
      </c>
      <c r="F2" s="19">
        <v>739000.0</v>
      </c>
      <c r="G2" s="12" t="str">
        <f>If(product&gt;=F2,IF(E2="Yes","FUNDED","NOT FUNDED"),"NOT FUNDED")</f>
        <v>FUNDED</v>
      </c>
      <c r="H2" s="20">
        <f>If(product&gt;=F2,product-F2,product)</f>
        <v>7761000</v>
      </c>
      <c r="I2" s="14" t="str">
        <f t="shared" ref="I2:I109" si="1">If(E2="YES",IF(G2="FUNDED","","Over Budget"),"Approval Threshold")</f>
        <v/>
      </c>
    </row>
    <row r="3">
      <c r="A3" s="18" t="s">
        <v>10</v>
      </c>
      <c r="B3" s="8">
        <v>522.0</v>
      </c>
      <c r="C3" s="9">
        <v>2.27210108E8</v>
      </c>
      <c r="D3" s="9">
        <v>2.7063893E7</v>
      </c>
      <c r="E3" s="10" t="str">
        <f>IF(C3&gt;percent,"YES","NO")</f>
        <v>YES</v>
      </c>
      <c r="F3" s="19">
        <v>550000.0</v>
      </c>
      <c r="G3" s="12" t="str">
        <f t="shared" ref="G3:G109" si="2">If(H2&gt;=F3,IF(E3="Yes","FUNDED","NOT FUNDED"),"NOT FUNDED")</f>
        <v>FUNDED</v>
      </c>
      <c r="H3" s="20">
        <f t="shared" ref="H3:H109" si="3">If(G3="FUNDED",IF(H2&gt;=F3,(H2-F3),H2),H2)</f>
        <v>7211000</v>
      </c>
      <c r="I3" s="14" t="str">
        <f t="shared" si="1"/>
        <v/>
      </c>
    </row>
    <row r="4">
      <c r="A4" s="18" t="s">
        <v>11</v>
      </c>
      <c r="B4" s="8">
        <v>388.0</v>
      </c>
      <c r="C4" s="9">
        <v>2.07222198E8</v>
      </c>
      <c r="D4" s="9">
        <v>3.3438489E7</v>
      </c>
      <c r="E4" s="10" t="str">
        <f>IF(C4&gt;percent,"YES","NO")</f>
        <v>YES</v>
      </c>
      <c r="F4" s="19">
        <v>604700.0</v>
      </c>
      <c r="G4" s="12" t="str">
        <f t="shared" si="2"/>
        <v>FUNDED</v>
      </c>
      <c r="H4" s="20">
        <f t="shared" si="3"/>
        <v>6606300</v>
      </c>
      <c r="I4" s="14" t="str">
        <f t="shared" si="1"/>
        <v/>
      </c>
    </row>
    <row r="5">
      <c r="A5" s="18" t="s">
        <v>12</v>
      </c>
      <c r="B5" s="8">
        <v>413.0</v>
      </c>
      <c r="C5" s="9">
        <v>2.03783429E8</v>
      </c>
      <c r="D5" s="9">
        <v>2.7675603E7</v>
      </c>
      <c r="E5" s="10" t="str">
        <f>IF(C5&gt;percent,"YES","NO")</f>
        <v>YES</v>
      </c>
      <c r="F5" s="19">
        <v>595000.0</v>
      </c>
      <c r="G5" s="12" t="str">
        <f t="shared" si="2"/>
        <v>FUNDED</v>
      </c>
      <c r="H5" s="20">
        <f t="shared" si="3"/>
        <v>6011300</v>
      </c>
      <c r="I5" s="14" t="str">
        <f t="shared" si="1"/>
        <v/>
      </c>
    </row>
    <row r="6">
      <c r="A6" s="18" t="s">
        <v>13</v>
      </c>
      <c r="B6" s="8">
        <v>388.0</v>
      </c>
      <c r="C6" s="9">
        <v>1.81665536E8</v>
      </c>
      <c r="D6" s="9">
        <v>3.0010282E7</v>
      </c>
      <c r="E6" s="10" t="str">
        <f>IF(C6&gt;percent,"YES","NO")</f>
        <v>YES</v>
      </c>
      <c r="F6" s="19">
        <v>550000.0</v>
      </c>
      <c r="G6" s="12" t="str">
        <f t="shared" si="2"/>
        <v>FUNDED</v>
      </c>
      <c r="H6" s="20">
        <f t="shared" si="3"/>
        <v>5461300</v>
      </c>
      <c r="I6" s="14" t="str">
        <f t="shared" si="1"/>
        <v/>
      </c>
    </row>
    <row r="7">
      <c r="A7" s="18" t="s">
        <v>14</v>
      </c>
      <c r="B7" s="8">
        <v>458.0</v>
      </c>
      <c r="C7" s="9">
        <v>1.81461627E8</v>
      </c>
      <c r="D7" s="9">
        <v>3.2378776E7</v>
      </c>
      <c r="E7" s="10" t="str">
        <f>IF(C7&gt;percent,"YES","NO")</f>
        <v>YES</v>
      </c>
      <c r="F7" s="19">
        <v>570000.0</v>
      </c>
      <c r="G7" s="12" t="str">
        <f t="shared" si="2"/>
        <v>FUNDED</v>
      </c>
      <c r="H7" s="20">
        <f t="shared" si="3"/>
        <v>4891300</v>
      </c>
      <c r="I7" s="14" t="str">
        <f t="shared" si="1"/>
        <v/>
      </c>
    </row>
    <row r="8">
      <c r="A8" s="18" t="s">
        <v>15</v>
      </c>
      <c r="B8" s="8">
        <v>216.0</v>
      </c>
      <c r="C8" s="9">
        <v>1.74410347E8</v>
      </c>
      <c r="D8" s="9">
        <v>2.6379476E7</v>
      </c>
      <c r="E8" s="10" t="str">
        <f>IF(C8&gt;percent,"YES","NO")</f>
        <v>YES</v>
      </c>
      <c r="F8" s="19">
        <v>475000.0</v>
      </c>
      <c r="G8" s="12" t="str">
        <f t="shared" si="2"/>
        <v>FUNDED</v>
      </c>
      <c r="H8" s="20">
        <f t="shared" si="3"/>
        <v>4416300</v>
      </c>
      <c r="I8" s="14" t="str">
        <f t="shared" si="1"/>
        <v/>
      </c>
    </row>
    <row r="9">
      <c r="A9" s="18" t="s">
        <v>16</v>
      </c>
      <c r="B9" s="8">
        <v>250.0</v>
      </c>
      <c r="C9" s="9">
        <v>1.61335498E8</v>
      </c>
      <c r="D9" s="9">
        <v>3.9699936E7</v>
      </c>
      <c r="E9" s="10" t="str">
        <f>IF(C9&gt;percent,"YES","NO")</f>
        <v>YES</v>
      </c>
      <c r="F9" s="19">
        <v>770000.0</v>
      </c>
      <c r="G9" s="12" t="str">
        <f t="shared" si="2"/>
        <v>FUNDED</v>
      </c>
      <c r="H9" s="20">
        <f t="shared" si="3"/>
        <v>3646300</v>
      </c>
      <c r="I9" s="14" t="str">
        <f t="shared" si="1"/>
        <v/>
      </c>
    </row>
    <row r="10">
      <c r="A10" s="18" t="s">
        <v>17</v>
      </c>
      <c r="B10" s="8">
        <v>442.0</v>
      </c>
      <c r="C10" s="9">
        <v>1.55811607E8</v>
      </c>
      <c r="D10" s="9">
        <v>4.4359102E7</v>
      </c>
      <c r="E10" s="10" t="str">
        <f>IF(C10&gt;percent,"YES","NO")</f>
        <v>YES</v>
      </c>
      <c r="F10" s="19">
        <v>698000.0</v>
      </c>
      <c r="G10" s="12" t="str">
        <f t="shared" si="2"/>
        <v>FUNDED</v>
      </c>
      <c r="H10" s="20">
        <f t="shared" si="3"/>
        <v>2948300</v>
      </c>
      <c r="I10" s="14" t="str">
        <f t="shared" si="1"/>
        <v/>
      </c>
    </row>
    <row r="11">
      <c r="A11" s="18" t="s">
        <v>18</v>
      </c>
      <c r="B11" s="8">
        <v>479.0</v>
      </c>
      <c r="C11" s="9">
        <v>1.53082714E8</v>
      </c>
      <c r="D11" s="9">
        <v>3.6751321E7</v>
      </c>
      <c r="E11" s="10" t="str">
        <f>IF(C11&gt;percent,"YES","NO")</f>
        <v>YES</v>
      </c>
      <c r="F11" s="19">
        <v>900000.0</v>
      </c>
      <c r="G11" s="12" t="str">
        <f t="shared" si="2"/>
        <v>FUNDED</v>
      </c>
      <c r="H11" s="20">
        <f t="shared" si="3"/>
        <v>2048300</v>
      </c>
      <c r="I11" s="14" t="str">
        <f t="shared" si="1"/>
        <v/>
      </c>
    </row>
    <row r="12">
      <c r="A12" s="18" t="s">
        <v>19</v>
      </c>
      <c r="B12" s="8">
        <v>362.0</v>
      </c>
      <c r="C12" s="9">
        <v>1.43709738E8</v>
      </c>
      <c r="D12" s="9">
        <v>3.7339751E7</v>
      </c>
      <c r="E12" s="10" t="str">
        <f>IF(C12&gt;percent,"YES","NO")</f>
        <v>YES</v>
      </c>
      <c r="F12" s="19">
        <v>750000.0</v>
      </c>
      <c r="G12" s="12" t="str">
        <f t="shared" si="2"/>
        <v>FUNDED</v>
      </c>
      <c r="H12" s="20">
        <f t="shared" si="3"/>
        <v>1298300</v>
      </c>
      <c r="I12" s="14" t="str">
        <f t="shared" si="1"/>
        <v/>
      </c>
    </row>
    <row r="13">
      <c r="A13" s="18" t="s">
        <v>20</v>
      </c>
      <c r="B13" s="8">
        <v>511.0</v>
      </c>
      <c r="C13" s="9">
        <v>1.24600229E8</v>
      </c>
      <c r="D13" s="9">
        <v>4.4219214E7</v>
      </c>
      <c r="E13" s="10" t="str">
        <f>IF(C13&gt;percent,"YES","NO")</f>
        <v>YES</v>
      </c>
      <c r="F13" s="19">
        <v>650000.0</v>
      </c>
      <c r="G13" s="12" t="str">
        <f t="shared" si="2"/>
        <v>FUNDED</v>
      </c>
      <c r="H13" s="20">
        <f t="shared" si="3"/>
        <v>648300</v>
      </c>
      <c r="I13" s="14" t="str">
        <f t="shared" si="1"/>
        <v/>
      </c>
    </row>
    <row r="14">
      <c r="A14" s="18" t="s">
        <v>21</v>
      </c>
      <c r="B14" s="8">
        <v>403.0</v>
      </c>
      <c r="C14" s="9">
        <v>1.2208053E8</v>
      </c>
      <c r="D14" s="9">
        <v>3.5158011E7</v>
      </c>
      <c r="E14" s="10" t="str">
        <f>IF(C14&gt;percent,"YES","NO")</f>
        <v>YES</v>
      </c>
      <c r="F14" s="19">
        <v>420000.0</v>
      </c>
      <c r="G14" s="12" t="str">
        <f t="shared" si="2"/>
        <v>FUNDED</v>
      </c>
      <c r="H14" s="20">
        <f t="shared" si="3"/>
        <v>228300</v>
      </c>
      <c r="I14" s="14" t="str">
        <f t="shared" si="1"/>
        <v/>
      </c>
    </row>
    <row r="15">
      <c r="A15" s="18" t="s">
        <v>22</v>
      </c>
      <c r="B15" s="8">
        <v>351.0</v>
      </c>
      <c r="C15" s="9">
        <v>1.19347438E8</v>
      </c>
      <c r="D15" s="9">
        <v>2.8933782E7</v>
      </c>
      <c r="E15" s="10" t="str">
        <f>IF(C15&gt;percent,"YES","NO")</f>
        <v>YES</v>
      </c>
      <c r="F15" s="19">
        <v>260000.0</v>
      </c>
      <c r="G15" s="12" t="str">
        <f t="shared" si="2"/>
        <v>NOT FUNDED</v>
      </c>
      <c r="H15" s="20">
        <f t="shared" si="3"/>
        <v>228300</v>
      </c>
      <c r="I15" s="14" t="str">
        <f t="shared" si="1"/>
        <v>Over Budget</v>
      </c>
    </row>
    <row r="16">
      <c r="A16" s="18" t="s">
        <v>23</v>
      </c>
      <c r="B16" s="8">
        <v>390.0</v>
      </c>
      <c r="C16" s="9">
        <v>1.17276301E8</v>
      </c>
      <c r="D16" s="9">
        <v>3.9534431E7</v>
      </c>
      <c r="E16" s="10" t="str">
        <f>IF(C16&gt;percent,"YES","NO")</f>
        <v>YES</v>
      </c>
      <c r="F16" s="19">
        <v>600000.0</v>
      </c>
      <c r="G16" s="12" t="str">
        <f t="shared" si="2"/>
        <v>NOT FUNDED</v>
      </c>
      <c r="H16" s="20">
        <f t="shared" si="3"/>
        <v>228300</v>
      </c>
      <c r="I16" s="14" t="str">
        <f t="shared" si="1"/>
        <v>Over Budget</v>
      </c>
    </row>
    <row r="17">
      <c r="A17" s="18" t="s">
        <v>24</v>
      </c>
      <c r="B17" s="8">
        <v>322.0</v>
      </c>
      <c r="C17" s="9">
        <v>1.16465487E8</v>
      </c>
      <c r="D17" s="9">
        <v>3.4955104E7</v>
      </c>
      <c r="E17" s="10" t="str">
        <f>IF(C17&gt;percent,"YES","NO")</f>
        <v>YES</v>
      </c>
      <c r="F17" s="19">
        <v>250000.0</v>
      </c>
      <c r="G17" s="12" t="str">
        <f t="shared" si="2"/>
        <v>NOT FUNDED</v>
      </c>
      <c r="H17" s="20">
        <f t="shared" si="3"/>
        <v>228300</v>
      </c>
      <c r="I17" s="14" t="str">
        <f t="shared" si="1"/>
        <v>Over Budget</v>
      </c>
    </row>
    <row r="18">
      <c r="A18" s="18" t="s">
        <v>25</v>
      </c>
      <c r="B18" s="8">
        <v>373.0</v>
      </c>
      <c r="C18" s="9">
        <v>1.16128252E8</v>
      </c>
      <c r="D18" s="9">
        <v>2.5762674E7</v>
      </c>
      <c r="E18" s="10" t="str">
        <f>IF(C18&gt;percent,"YES","NO")</f>
        <v>YES</v>
      </c>
      <c r="F18" s="19">
        <v>300000.0</v>
      </c>
      <c r="G18" s="12" t="str">
        <f t="shared" si="2"/>
        <v>NOT FUNDED</v>
      </c>
      <c r="H18" s="20">
        <f t="shared" si="3"/>
        <v>228300</v>
      </c>
      <c r="I18" s="14" t="str">
        <f t="shared" si="1"/>
        <v>Over Budget</v>
      </c>
    </row>
    <row r="19">
      <c r="A19" s="18" t="s">
        <v>26</v>
      </c>
      <c r="B19" s="8">
        <v>249.0</v>
      </c>
      <c r="C19" s="9">
        <v>1.16107515E8</v>
      </c>
      <c r="D19" s="9">
        <v>2.9131421E7</v>
      </c>
      <c r="E19" s="10" t="str">
        <f>IF(C19&gt;percent,"YES","NO")</f>
        <v>YES</v>
      </c>
      <c r="F19" s="19">
        <v>406666.0</v>
      </c>
      <c r="G19" s="12" t="str">
        <f t="shared" si="2"/>
        <v>NOT FUNDED</v>
      </c>
      <c r="H19" s="20">
        <f t="shared" si="3"/>
        <v>228300</v>
      </c>
      <c r="I19" s="14" t="str">
        <f t="shared" si="1"/>
        <v>Over Budget</v>
      </c>
    </row>
    <row r="20">
      <c r="A20" s="18" t="s">
        <v>27</v>
      </c>
      <c r="B20" s="8">
        <v>399.0</v>
      </c>
      <c r="C20" s="9">
        <v>1.15560067E8</v>
      </c>
      <c r="D20" s="9">
        <v>3.5999789E7</v>
      </c>
      <c r="E20" s="10" t="str">
        <f>IF(C20&gt;percent,"YES","NO")</f>
        <v>YES</v>
      </c>
      <c r="F20" s="19">
        <v>1000000.0</v>
      </c>
      <c r="G20" s="12" t="str">
        <f t="shared" si="2"/>
        <v>NOT FUNDED</v>
      </c>
      <c r="H20" s="20">
        <f t="shared" si="3"/>
        <v>228300</v>
      </c>
      <c r="I20" s="14" t="str">
        <f t="shared" si="1"/>
        <v>Over Budget</v>
      </c>
    </row>
    <row r="21">
      <c r="A21" s="18" t="s">
        <v>28</v>
      </c>
      <c r="B21" s="8">
        <v>233.0</v>
      </c>
      <c r="C21" s="9">
        <v>1.14992789E8</v>
      </c>
      <c r="D21" s="9">
        <v>2.8229725E7</v>
      </c>
      <c r="E21" s="10" t="str">
        <f>IF(C21&gt;percent,"YES","NO")</f>
        <v>YES</v>
      </c>
      <c r="F21" s="19">
        <v>250000.0</v>
      </c>
      <c r="G21" s="12" t="str">
        <f t="shared" si="2"/>
        <v>NOT FUNDED</v>
      </c>
      <c r="H21" s="20">
        <f t="shared" si="3"/>
        <v>228300</v>
      </c>
      <c r="I21" s="14" t="str">
        <f t="shared" si="1"/>
        <v>Over Budget</v>
      </c>
    </row>
    <row r="22">
      <c r="A22" s="18" t="s">
        <v>29</v>
      </c>
      <c r="B22" s="8">
        <v>363.0</v>
      </c>
      <c r="C22" s="9">
        <v>1.14872427E8</v>
      </c>
      <c r="D22" s="9">
        <v>2.5243374E7</v>
      </c>
      <c r="E22" s="10" t="str">
        <f>IF(C22&gt;percent,"YES","NO")</f>
        <v>YES</v>
      </c>
      <c r="F22" s="19">
        <v>250000.0</v>
      </c>
      <c r="G22" s="12" t="str">
        <f t="shared" si="2"/>
        <v>NOT FUNDED</v>
      </c>
      <c r="H22" s="20">
        <f t="shared" si="3"/>
        <v>228300</v>
      </c>
      <c r="I22" s="14" t="str">
        <f t="shared" si="1"/>
        <v>Over Budget</v>
      </c>
    </row>
    <row r="23">
      <c r="A23" s="18" t="s">
        <v>30</v>
      </c>
      <c r="B23" s="8">
        <v>366.0</v>
      </c>
      <c r="C23" s="9">
        <v>1.03956612E8</v>
      </c>
      <c r="D23" s="9">
        <v>2.7335613E7</v>
      </c>
      <c r="E23" s="10" t="str">
        <f>IF(C23&gt;percent,"YES","NO")</f>
        <v>YES</v>
      </c>
      <c r="F23" s="19">
        <v>250000.0</v>
      </c>
      <c r="G23" s="12" t="str">
        <f t="shared" si="2"/>
        <v>NOT FUNDED</v>
      </c>
      <c r="H23" s="20">
        <f t="shared" si="3"/>
        <v>228300</v>
      </c>
      <c r="I23" s="14" t="str">
        <f t="shared" si="1"/>
        <v>Over Budget</v>
      </c>
    </row>
    <row r="24">
      <c r="A24" s="18" t="s">
        <v>31</v>
      </c>
      <c r="B24" s="8">
        <v>338.0</v>
      </c>
      <c r="C24" s="9">
        <v>9.8562561E7</v>
      </c>
      <c r="D24" s="9">
        <v>2.6658376E7</v>
      </c>
      <c r="E24" s="10" t="str">
        <f>IF(C24&gt;percent,"YES","NO")</f>
        <v>YES</v>
      </c>
      <c r="F24" s="19">
        <v>250000.0</v>
      </c>
      <c r="G24" s="12" t="str">
        <f t="shared" si="2"/>
        <v>NOT FUNDED</v>
      </c>
      <c r="H24" s="20">
        <f t="shared" si="3"/>
        <v>228300</v>
      </c>
      <c r="I24" s="14" t="str">
        <f t="shared" si="1"/>
        <v>Over Budget</v>
      </c>
    </row>
    <row r="25">
      <c r="A25" s="18" t="s">
        <v>32</v>
      </c>
      <c r="B25" s="8">
        <v>301.0</v>
      </c>
      <c r="C25" s="9">
        <v>9.734219E7</v>
      </c>
      <c r="D25" s="9">
        <v>2.9270331E7</v>
      </c>
      <c r="E25" s="10" t="str">
        <f>IF(C25&gt;percent,"YES","NO")</f>
        <v>YES</v>
      </c>
      <c r="F25" s="19">
        <v>506000.0</v>
      </c>
      <c r="G25" s="12" t="str">
        <f t="shared" si="2"/>
        <v>NOT FUNDED</v>
      </c>
      <c r="H25" s="20">
        <f t="shared" si="3"/>
        <v>228300</v>
      </c>
      <c r="I25" s="14" t="str">
        <f t="shared" si="1"/>
        <v>Over Budget</v>
      </c>
    </row>
    <row r="26">
      <c r="A26" s="21" t="s">
        <v>33</v>
      </c>
      <c r="B26" s="8">
        <v>376.0</v>
      </c>
      <c r="C26" s="9">
        <v>9.2517979E7</v>
      </c>
      <c r="D26" s="9">
        <v>3.3100666E7</v>
      </c>
      <c r="E26" s="10" t="str">
        <f>IF(C26&gt;percent,"YES","NO")</f>
        <v>YES</v>
      </c>
      <c r="F26" s="19">
        <v>825000.0</v>
      </c>
      <c r="G26" s="12" t="str">
        <f t="shared" si="2"/>
        <v>NOT FUNDED</v>
      </c>
      <c r="H26" s="20">
        <f t="shared" si="3"/>
        <v>228300</v>
      </c>
      <c r="I26" s="14" t="str">
        <f t="shared" si="1"/>
        <v>Over Budget</v>
      </c>
    </row>
    <row r="27">
      <c r="A27" s="18" t="s">
        <v>34</v>
      </c>
      <c r="B27" s="8">
        <v>297.0</v>
      </c>
      <c r="C27" s="9">
        <v>8.9865764E7</v>
      </c>
      <c r="D27" s="9">
        <v>2.0677462E7</v>
      </c>
      <c r="E27" s="10" t="str">
        <f>IF(C27&gt;percent,"YES","NO")</f>
        <v>YES</v>
      </c>
      <c r="F27" s="19">
        <v>250000.0</v>
      </c>
      <c r="G27" s="12" t="str">
        <f t="shared" si="2"/>
        <v>NOT FUNDED</v>
      </c>
      <c r="H27" s="20">
        <f t="shared" si="3"/>
        <v>228300</v>
      </c>
      <c r="I27" s="14" t="str">
        <f t="shared" si="1"/>
        <v>Over Budget</v>
      </c>
    </row>
    <row r="28">
      <c r="A28" s="18" t="s">
        <v>35</v>
      </c>
      <c r="B28" s="8">
        <v>268.0</v>
      </c>
      <c r="C28" s="9">
        <v>8.9581556E7</v>
      </c>
      <c r="D28" s="9">
        <v>3.7821665E7</v>
      </c>
      <c r="E28" s="10" t="str">
        <f>IF(C28&gt;percent,"YES","NO")</f>
        <v>YES</v>
      </c>
      <c r="F28" s="19">
        <v>750000.0</v>
      </c>
      <c r="G28" s="12" t="str">
        <f t="shared" si="2"/>
        <v>NOT FUNDED</v>
      </c>
      <c r="H28" s="20">
        <f t="shared" si="3"/>
        <v>228300</v>
      </c>
      <c r="I28" s="14" t="str">
        <f t="shared" si="1"/>
        <v>Over Budget</v>
      </c>
    </row>
    <row r="29">
      <c r="A29" s="18" t="s">
        <v>36</v>
      </c>
      <c r="B29" s="8">
        <v>318.0</v>
      </c>
      <c r="C29" s="9">
        <v>8.8244645E7</v>
      </c>
      <c r="D29" s="9">
        <v>2.9237498E7</v>
      </c>
      <c r="E29" s="10" t="str">
        <f>IF(C29&gt;percent,"YES","NO")</f>
        <v>YES</v>
      </c>
      <c r="F29" s="19">
        <v>250000.0</v>
      </c>
      <c r="G29" s="12" t="str">
        <f t="shared" si="2"/>
        <v>NOT FUNDED</v>
      </c>
      <c r="H29" s="20">
        <f t="shared" si="3"/>
        <v>228300</v>
      </c>
      <c r="I29" s="14" t="str">
        <f t="shared" si="1"/>
        <v>Over Budget</v>
      </c>
    </row>
    <row r="30">
      <c r="A30" s="18" t="s">
        <v>37</v>
      </c>
      <c r="B30" s="8">
        <v>246.0</v>
      </c>
      <c r="C30" s="9">
        <v>8.2798817E7</v>
      </c>
      <c r="D30" s="9">
        <v>2.9546381E7</v>
      </c>
      <c r="E30" s="10" t="str">
        <f>IF(C30&gt;percent,"YES","NO")</f>
        <v>YES</v>
      </c>
      <c r="F30" s="19">
        <v>380000.0</v>
      </c>
      <c r="G30" s="12" t="str">
        <f t="shared" si="2"/>
        <v>NOT FUNDED</v>
      </c>
      <c r="H30" s="20">
        <f t="shared" si="3"/>
        <v>228300</v>
      </c>
      <c r="I30" s="14" t="str">
        <f t="shared" si="1"/>
        <v>Over Budget</v>
      </c>
    </row>
    <row r="31">
      <c r="A31" s="18" t="s">
        <v>38</v>
      </c>
      <c r="B31" s="8">
        <v>315.0</v>
      </c>
      <c r="C31" s="9">
        <v>7.2496419E7</v>
      </c>
      <c r="D31" s="9">
        <v>2.7331322E7</v>
      </c>
      <c r="E31" s="10" t="str">
        <f>IF(C31&gt;percent,"YES","NO")</f>
        <v>YES</v>
      </c>
      <c r="F31" s="19">
        <v>750000.0</v>
      </c>
      <c r="G31" s="12" t="str">
        <f t="shared" si="2"/>
        <v>NOT FUNDED</v>
      </c>
      <c r="H31" s="20">
        <f t="shared" si="3"/>
        <v>228300</v>
      </c>
      <c r="I31" s="14" t="str">
        <f t="shared" si="1"/>
        <v>Over Budget</v>
      </c>
    </row>
    <row r="32">
      <c r="A32" s="18" t="s">
        <v>39</v>
      </c>
      <c r="B32" s="8">
        <v>239.0</v>
      </c>
      <c r="C32" s="9">
        <v>7.2279672E7</v>
      </c>
      <c r="D32" s="9">
        <v>2.6434952E7</v>
      </c>
      <c r="E32" s="10" t="str">
        <f>IF(C32&gt;percent,"YES","NO")</f>
        <v>YES</v>
      </c>
      <c r="F32" s="19">
        <v>415529.0</v>
      </c>
      <c r="G32" s="12" t="str">
        <f t="shared" si="2"/>
        <v>NOT FUNDED</v>
      </c>
      <c r="H32" s="20">
        <f t="shared" si="3"/>
        <v>228300</v>
      </c>
      <c r="I32" s="14" t="str">
        <f t="shared" si="1"/>
        <v>Over Budget</v>
      </c>
    </row>
    <row r="33">
      <c r="A33" s="18" t="s">
        <v>40</v>
      </c>
      <c r="B33" s="8">
        <v>266.0</v>
      </c>
      <c r="C33" s="9">
        <v>7.2273869E7</v>
      </c>
      <c r="D33" s="9">
        <v>2.7904641E7</v>
      </c>
      <c r="E33" s="10" t="str">
        <f>IF(C33&gt;percent,"YES","NO")</f>
        <v>YES</v>
      </c>
      <c r="F33" s="19">
        <v>499000.0</v>
      </c>
      <c r="G33" s="12" t="str">
        <f t="shared" si="2"/>
        <v>NOT FUNDED</v>
      </c>
      <c r="H33" s="20">
        <f t="shared" si="3"/>
        <v>228300</v>
      </c>
      <c r="I33" s="14" t="str">
        <f t="shared" si="1"/>
        <v>Over Budget</v>
      </c>
    </row>
    <row r="34">
      <c r="A34" s="18" t="s">
        <v>41</v>
      </c>
      <c r="B34" s="8">
        <v>252.0</v>
      </c>
      <c r="C34" s="9">
        <v>7.1390258E7</v>
      </c>
      <c r="D34" s="9">
        <v>3.1922629E7</v>
      </c>
      <c r="E34" s="10" t="str">
        <f>IF(C34&gt;percent,"YES","NO")</f>
        <v>YES</v>
      </c>
      <c r="F34" s="19">
        <v>252000.0</v>
      </c>
      <c r="G34" s="12" t="str">
        <f t="shared" si="2"/>
        <v>NOT FUNDED</v>
      </c>
      <c r="H34" s="20">
        <f t="shared" si="3"/>
        <v>228300</v>
      </c>
      <c r="I34" s="14" t="str">
        <f t="shared" si="1"/>
        <v>Over Budget</v>
      </c>
    </row>
    <row r="35">
      <c r="A35" s="18" t="s">
        <v>42</v>
      </c>
      <c r="B35" s="8">
        <v>312.0</v>
      </c>
      <c r="C35" s="9">
        <v>6.9955131E7</v>
      </c>
      <c r="D35" s="9">
        <v>2.5852652E7</v>
      </c>
      <c r="E35" s="10" t="str">
        <f>IF(C35&gt;percent,"YES","NO")</f>
        <v>YES</v>
      </c>
      <c r="F35" s="19">
        <v>250000.0</v>
      </c>
      <c r="G35" s="12" t="str">
        <f t="shared" si="2"/>
        <v>NOT FUNDED</v>
      </c>
      <c r="H35" s="20">
        <f t="shared" si="3"/>
        <v>228300</v>
      </c>
      <c r="I35" s="14" t="str">
        <f t="shared" si="1"/>
        <v>Over Budget</v>
      </c>
    </row>
    <row r="36">
      <c r="A36" s="18" t="s">
        <v>43</v>
      </c>
      <c r="B36" s="8">
        <v>284.0</v>
      </c>
      <c r="C36" s="9">
        <v>6.9364838E7</v>
      </c>
      <c r="D36" s="9">
        <v>2.4807793E7</v>
      </c>
      <c r="E36" s="10" t="str">
        <f>IF(C36&gt;percent,"YES","NO")</f>
        <v>YES</v>
      </c>
      <c r="F36" s="19">
        <v>250000.0</v>
      </c>
      <c r="G36" s="12" t="str">
        <f t="shared" si="2"/>
        <v>NOT FUNDED</v>
      </c>
      <c r="H36" s="20">
        <f t="shared" si="3"/>
        <v>228300</v>
      </c>
      <c r="I36" s="14" t="str">
        <f t="shared" si="1"/>
        <v>Over Budget</v>
      </c>
    </row>
    <row r="37">
      <c r="A37" s="18" t="s">
        <v>44</v>
      </c>
      <c r="B37" s="8">
        <v>177.0</v>
      </c>
      <c r="C37" s="9">
        <v>6.7566737E7</v>
      </c>
      <c r="D37" s="9">
        <v>2.8750448E7</v>
      </c>
      <c r="E37" s="10" t="str">
        <f>IF(C37&gt;percent,"YES","NO")</f>
        <v>YES</v>
      </c>
      <c r="F37" s="19">
        <v>550000.0</v>
      </c>
      <c r="G37" s="12" t="str">
        <f t="shared" si="2"/>
        <v>NOT FUNDED</v>
      </c>
      <c r="H37" s="20">
        <f t="shared" si="3"/>
        <v>228300</v>
      </c>
      <c r="I37" s="14" t="str">
        <f t="shared" si="1"/>
        <v>Over Budget</v>
      </c>
    </row>
    <row r="38">
      <c r="A38" s="18" t="s">
        <v>45</v>
      </c>
      <c r="B38" s="8">
        <v>202.0</v>
      </c>
      <c r="C38" s="9">
        <v>6.6316563E7</v>
      </c>
      <c r="D38" s="9">
        <v>3.5891255E7</v>
      </c>
      <c r="E38" s="10" t="str">
        <f>IF(C38&gt;percent,"YES","NO")</f>
        <v>YES</v>
      </c>
      <c r="F38" s="19">
        <v>850000.0</v>
      </c>
      <c r="G38" s="12" t="str">
        <f t="shared" si="2"/>
        <v>NOT FUNDED</v>
      </c>
      <c r="H38" s="20">
        <f t="shared" si="3"/>
        <v>228300</v>
      </c>
      <c r="I38" s="14" t="str">
        <f t="shared" si="1"/>
        <v>Over Budget</v>
      </c>
    </row>
    <row r="39">
      <c r="A39" s="18" t="s">
        <v>46</v>
      </c>
      <c r="B39" s="8">
        <v>197.0</v>
      </c>
      <c r="C39" s="9">
        <v>6.545614E7</v>
      </c>
      <c r="D39" s="9">
        <v>3.5368226E7</v>
      </c>
      <c r="E39" s="10" t="str">
        <f>IF(C39&gt;percent,"YES","NO")</f>
        <v>YES</v>
      </c>
      <c r="F39" s="19">
        <v>700000.0</v>
      </c>
      <c r="G39" s="12" t="str">
        <f t="shared" si="2"/>
        <v>NOT FUNDED</v>
      </c>
      <c r="H39" s="20">
        <f t="shared" si="3"/>
        <v>228300</v>
      </c>
      <c r="I39" s="14" t="str">
        <f t="shared" si="1"/>
        <v>Over Budget</v>
      </c>
    </row>
    <row r="40">
      <c r="A40" s="18" t="s">
        <v>47</v>
      </c>
      <c r="B40" s="8">
        <v>266.0</v>
      </c>
      <c r="C40" s="9">
        <v>6.4968877E7</v>
      </c>
      <c r="D40" s="9">
        <v>3.5571772E7</v>
      </c>
      <c r="E40" s="10" t="str">
        <f>IF(C40&gt;percent,"YES","NO")</f>
        <v>YES</v>
      </c>
      <c r="F40" s="19">
        <v>700000.0</v>
      </c>
      <c r="G40" s="12" t="str">
        <f t="shared" si="2"/>
        <v>NOT FUNDED</v>
      </c>
      <c r="H40" s="20">
        <f t="shared" si="3"/>
        <v>228300</v>
      </c>
      <c r="I40" s="14" t="str">
        <f t="shared" si="1"/>
        <v>Over Budget</v>
      </c>
    </row>
    <row r="41">
      <c r="A41" s="18" t="s">
        <v>48</v>
      </c>
      <c r="B41" s="8">
        <v>287.0</v>
      </c>
      <c r="C41" s="9">
        <v>6.2677352E7</v>
      </c>
      <c r="D41" s="9">
        <v>2.3659459E7</v>
      </c>
      <c r="E41" s="10" t="str">
        <f>IF(C41&gt;percent,"YES","NO")</f>
        <v>YES</v>
      </c>
      <c r="F41" s="19">
        <v>590000.0</v>
      </c>
      <c r="G41" s="12" t="str">
        <f t="shared" si="2"/>
        <v>NOT FUNDED</v>
      </c>
      <c r="H41" s="20">
        <f t="shared" si="3"/>
        <v>228300</v>
      </c>
      <c r="I41" s="14" t="str">
        <f t="shared" si="1"/>
        <v>Over Budget</v>
      </c>
    </row>
    <row r="42">
      <c r="A42" s="18" t="s">
        <v>49</v>
      </c>
      <c r="B42" s="8">
        <v>273.0</v>
      </c>
      <c r="C42" s="9">
        <v>6.1664587E7</v>
      </c>
      <c r="D42" s="9">
        <v>3.2982207E7</v>
      </c>
      <c r="E42" s="10" t="str">
        <f>IF(C42&gt;percent,"YES","NO")</f>
        <v>YES</v>
      </c>
      <c r="F42" s="19">
        <v>636800.0</v>
      </c>
      <c r="G42" s="12" t="str">
        <f t="shared" si="2"/>
        <v>NOT FUNDED</v>
      </c>
      <c r="H42" s="20">
        <f t="shared" si="3"/>
        <v>228300</v>
      </c>
      <c r="I42" s="14" t="str">
        <f t="shared" si="1"/>
        <v>Over Budget</v>
      </c>
    </row>
    <row r="43">
      <c r="A43" s="18" t="s">
        <v>50</v>
      </c>
      <c r="B43" s="8">
        <v>245.0</v>
      </c>
      <c r="C43" s="9">
        <v>6.1242624E7</v>
      </c>
      <c r="D43" s="9">
        <v>2.6645341E7</v>
      </c>
      <c r="E43" s="10" t="str">
        <f>IF(C43&gt;percent,"YES","NO")</f>
        <v>YES</v>
      </c>
      <c r="F43" s="19">
        <v>250000.0</v>
      </c>
      <c r="G43" s="12" t="str">
        <f t="shared" si="2"/>
        <v>NOT FUNDED</v>
      </c>
      <c r="H43" s="20">
        <f t="shared" si="3"/>
        <v>228300</v>
      </c>
      <c r="I43" s="14" t="str">
        <f t="shared" si="1"/>
        <v>Over Budget</v>
      </c>
    </row>
    <row r="44">
      <c r="A44" s="18" t="s">
        <v>51</v>
      </c>
      <c r="B44" s="8">
        <v>310.0</v>
      </c>
      <c r="C44" s="9">
        <v>5.7253369E7</v>
      </c>
      <c r="D44" s="9">
        <v>2.8055172E7</v>
      </c>
      <c r="E44" s="10" t="str">
        <f>IF(C44&gt;percent,"YES","NO")</f>
        <v>YES</v>
      </c>
      <c r="F44" s="19">
        <v>490000.0</v>
      </c>
      <c r="G44" s="12" t="str">
        <f t="shared" si="2"/>
        <v>NOT FUNDED</v>
      </c>
      <c r="H44" s="20">
        <f t="shared" si="3"/>
        <v>228300</v>
      </c>
      <c r="I44" s="14" t="str">
        <f t="shared" si="1"/>
        <v>Over Budget</v>
      </c>
    </row>
    <row r="45">
      <c r="A45" s="18" t="s">
        <v>52</v>
      </c>
      <c r="B45" s="22">
        <v>250.0</v>
      </c>
      <c r="C45" s="9">
        <v>5.4636633E7</v>
      </c>
      <c r="D45" s="9">
        <v>2.6617889E7</v>
      </c>
      <c r="E45" s="10" t="str">
        <f>IF(C45&gt;percent,"YES","NO")</f>
        <v>YES</v>
      </c>
      <c r="F45" s="19">
        <v>408000.0</v>
      </c>
      <c r="G45" s="12" t="str">
        <f t="shared" si="2"/>
        <v>NOT FUNDED</v>
      </c>
      <c r="H45" s="20">
        <f t="shared" si="3"/>
        <v>228300</v>
      </c>
      <c r="I45" s="14" t="str">
        <f t="shared" si="1"/>
        <v>Over Budget</v>
      </c>
    </row>
    <row r="46">
      <c r="A46" s="18" t="s">
        <v>53</v>
      </c>
      <c r="B46" s="22">
        <v>204.0</v>
      </c>
      <c r="C46" s="9">
        <v>5.4242398E7</v>
      </c>
      <c r="D46" s="9">
        <v>3.0393784E7</v>
      </c>
      <c r="E46" s="10" t="str">
        <f>IF(C46&gt;percent,"YES","NO")</f>
        <v>YES</v>
      </c>
      <c r="F46" s="19">
        <v>250000.0</v>
      </c>
      <c r="G46" s="12" t="str">
        <f t="shared" si="2"/>
        <v>NOT FUNDED</v>
      </c>
      <c r="H46" s="20">
        <f t="shared" si="3"/>
        <v>228300</v>
      </c>
      <c r="I46" s="14" t="str">
        <f t="shared" si="1"/>
        <v>Over Budget</v>
      </c>
    </row>
    <row r="47">
      <c r="A47" s="18" t="s">
        <v>54</v>
      </c>
      <c r="B47" s="22">
        <v>221.0</v>
      </c>
      <c r="C47" s="9">
        <v>5.3843707E7</v>
      </c>
      <c r="D47" s="9">
        <v>2.8261432E7</v>
      </c>
      <c r="E47" s="10" t="str">
        <f>IF(C47&gt;percent,"YES","NO")</f>
        <v>YES</v>
      </c>
      <c r="F47" s="19">
        <v>338000.0</v>
      </c>
      <c r="G47" s="12" t="str">
        <f t="shared" si="2"/>
        <v>NOT FUNDED</v>
      </c>
      <c r="H47" s="20">
        <f t="shared" si="3"/>
        <v>228300</v>
      </c>
      <c r="I47" s="14" t="str">
        <f t="shared" si="1"/>
        <v>Over Budget</v>
      </c>
    </row>
    <row r="48">
      <c r="A48" s="18" t="s">
        <v>55</v>
      </c>
      <c r="B48" s="22">
        <v>146.0</v>
      </c>
      <c r="C48" s="9">
        <v>5.35066E7</v>
      </c>
      <c r="D48" s="9">
        <v>2.7426907E7</v>
      </c>
      <c r="E48" s="10" t="str">
        <f>IF(C48&gt;percent,"YES","NO")</f>
        <v>YES</v>
      </c>
      <c r="F48" s="19">
        <v>350000.0</v>
      </c>
      <c r="G48" s="12" t="str">
        <f t="shared" si="2"/>
        <v>NOT FUNDED</v>
      </c>
      <c r="H48" s="20">
        <f t="shared" si="3"/>
        <v>228300</v>
      </c>
      <c r="I48" s="14" t="str">
        <f t="shared" si="1"/>
        <v>Over Budget</v>
      </c>
    </row>
    <row r="49">
      <c r="A49" s="18" t="s">
        <v>56</v>
      </c>
      <c r="B49" s="22">
        <v>178.0</v>
      </c>
      <c r="C49" s="9">
        <v>5.3037787E7</v>
      </c>
      <c r="D49" s="9">
        <v>2.7426734E7</v>
      </c>
      <c r="E49" s="10" t="str">
        <f>IF(C49&gt;percent,"YES","NO")</f>
        <v>YES</v>
      </c>
      <c r="F49" s="19">
        <v>480000.0</v>
      </c>
      <c r="G49" s="12" t="str">
        <f t="shared" si="2"/>
        <v>NOT FUNDED</v>
      </c>
      <c r="H49" s="20">
        <f t="shared" si="3"/>
        <v>228300</v>
      </c>
      <c r="I49" s="14" t="str">
        <f t="shared" si="1"/>
        <v>Over Budget</v>
      </c>
    </row>
    <row r="50">
      <c r="A50" s="18" t="s">
        <v>57</v>
      </c>
      <c r="B50" s="22">
        <v>206.0</v>
      </c>
      <c r="C50" s="9">
        <v>5.2873035E7</v>
      </c>
      <c r="D50" s="9">
        <v>3.452984E7</v>
      </c>
      <c r="E50" s="10" t="str">
        <f>IF(C50&gt;percent,"YES","NO")</f>
        <v>YES</v>
      </c>
      <c r="F50" s="19">
        <v>500000.0</v>
      </c>
      <c r="G50" s="12" t="str">
        <f t="shared" si="2"/>
        <v>NOT FUNDED</v>
      </c>
      <c r="H50" s="20">
        <f t="shared" si="3"/>
        <v>228300</v>
      </c>
      <c r="I50" s="14" t="str">
        <f t="shared" si="1"/>
        <v>Over Budget</v>
      </c>
    </row>
    <row r="51">
      <c r="A51" s="18" t="s">
        <v>58</v>
      </c>
      <c r="B51" s="22">
        <v>249.0</v>
      </c>
      <c r="C51" s="9">
        <v>4.9502551E7</v>
      </c>
      <c r="D51" s="9">
        <v>3.0005811E7</v>
      </c>
      <c r="E51" s="10" t="str">
        <f>IF(C51&gt;percent,"YES","NO")</f>
        <v>YES</v>
      </c>
      <c r="F51" s="19">
        <v>360793.0</v>
      </c>
      <c r="G51" s="12" t="str">
        <f t="shared" si="2"/>
        <v>NOT FUNDED</v>
      </c>
      <c r="H51" s="20">
        <f t="shared" si="3"/>
        <v>228300</v>
      </c>
      <c r="I51" s="14" t="str">
        <f t="shared" si="1"/>
        <v>Over Budget</v>
      </c>
    </row>
    <row r="52">
      <c r="A52" s="18" t="s">
        <v>59</v>
      </c>
      <c r="B52" s="22">
        <v>236.0</v>
      </c>
      <c r="C52" s="9">
        <v>4.9405374E7</v>
      </c>
      <c r="D52" s="9">
        <v>3.8609891E7</v>
      </c>
      <c r="E52" s="10" t="str">
        <f>IF(C52&gt;percent,"YES","NO")</f>
        <v>YES</v>
      </c>
      <c r="F52" s="19">
        <v>280000.0</v>
      </c>
      <c r="G52" s="12" t="str">
        <f t="shared" si="2"/>
        <v>NOT FUNDED</v>
      </c>
      <c r="H52" s="20">
        <f t="shared" si="3"/>
        <v>228300</v>
      </c>
      <c r="I52" s="14" t="str">
        <f t="shared" si="1"/>
        <v>Over Budget</v>
      </c>
    </row>
    <row r="53">
      <c r="A53" s="18" t="s">
        <v>60</v>
      </c>
      <c r="B53" s="22">
        <v>271.0</v>
      </c>
      <c r="C53" s="9">
        <v>4.8247912E7</v>
      </c>
      <c r="D53" s="9">
        <v>2.2413682E7</v>
      </c>
      <c r="E53" s="10" t="str">
        <f>IF(C53&gt;percent,"YES","NO")</f>
        <v>YES</v>
      </c>
      <c r="F53" s="19">
        <v>250000.0</v>
      </c>
      <c r="G53" s="12" t="str">
        <f t="shared" si="2"/>
        <v>NOT FUNDED</v>
      </c>
      <c r="H53" s="20">
        <f t="shared" si="3"/>
        <v>228300</v>
      </c>
      <c r="I53" s="14" t="str">
        <f t="shared" si="1"/>
        <v>Over Budget</v>
      </c>
    </row>
    <row r="54">
      <c r="A54" s="18" t="s">
        <v>61</v>
      </c>
      <c r="B54" s="22">
        <v>164.0</v>
      </c>
      <c r="C54" s="9">
        <v>4.7937513E7</v>
      </c>
      <c r="D54" s="9">
        <v>3.2031478E7</v>
      </c>
      <c r="E54" s="10" t="str">
        <f>IF(C54&gt;percent,"YES","NO")</f>
        <v>YES</v>
      </c>
      <c r="F54" s="19">
        <v>500000.0</v>
      </c>
      <c r="G54" s="12" t="str">
        <f t="shared" si="2"/>
        <v>NOT FUNDED</v>
      </c>
      <c r="H54" s="20">
        <f t="shared" si="3"/>
        <v>228300</v>
      </c>
      <c r="I54" s="14" t="str">
        <f t="shared" si="1"/>
        <v>Over Budget</v>
      </c>
    </row>
    <row r="55">
      <c r="A55" s="18" t="s">
        <v>62</v>
      </c>
      <c r="B55" s="22">
        <v>225.0</v>
      </c>
      <c r="C55" s="9">
        <v>4.7689552E7</v>
      </c>
      <c r="D55" s="9">
        <v>3.2359898E7</v>
      </c>
      <c r="E55" s="10" t="str">
        <f>IF(C55&gt;percent,"YES","NO")</f>
        <v>YES</v>
      </c>
      <c r="F55" s="19">
        <v>500000.0</v>
      </c>
      <c r="G55" s="12" t="str">
        <f t="shared" si="2"/>
        <v>NOT FUNDED</v>
      </c>
      <c r="H55" s="20">
        <f t="shared" si="3"/>
        <v>228300</v>
      </c>
      <c r="I55" s="14" t="str">
        <f t="shared" si="1"/>
        <v>Over Budget</v>
      </c>
    </row>
    <row r="56">
      <c r="A56" s="18" t="s">
        <v>63</v>
      </c>
      <c r="B56" s="22">
        <v>260.0</v>
      </c>
      <c r="C56" s="9">
        <v>4.7550574E7</v>
      </c>
      <c r="D56" s="9">
        <v>2.9479561E7</v>
      </c>
      <c r="E56" s="10" t="str">
        <f>IF(C56&gt;percent,"YES","NO")</f>
        <v>YES</v>
      </c>
      <c r="F56" s="19">
        <v>647354.0</v>
      </c>
      <c r="G56" s="12" t="str">
        <f t="shared" si="2"/>
        <v>NOT FUNDED</v>
      </c>
      <c r="H56" s="20">
        <f t="shared" si="3"/>
        <v>228300</v>
      </c>
      <c r="I56" s="14" t="str">
        <f t="shared" si="1"/>
        <v>Over Budget</v>
      </c>
    </row>
    <row r="57">
      <c r="A57" s="18" t="s">
        <v>64</v>
      </c>
      <c r="B57" s="22">
        <v>225.0</v>
      </c>
      <c r="C57" s="9">
        <v>4.6524451E7</v>
      </c>
      <c r="D57" s="9">
        <v>3.0032772E7</v>
      </c>
      <c r="E57" s="10" t="str">
        <f>IF(C57&gt;percent,"YES","NO")</f>
        <v>YES</v>
      </c>
      <c r="F57" s="19">
        <v>505000.0</v>
      </c>
      <c r="G57" s="12" t="str">
        <f t="shared" si="2"/>
        <v>NOT FUNDED</v>
      </c>
      <c r="H57" s="20">
        <f t="shared" si="3"/>
        <v>228300</v>
      </c>
      <c r="I57" s="14" t="str">
        <f t="shared" si="1"/>
        <v>Over Budget</v>
      </c>
    </row>
    <row r="58">
      <c r="A58" s="18" t="s">
        <v>65</v>
      </c>
      <c r="B58" s="22">
        <v>166.0</v>
      </c>
      <c r="C58" s="9">
        <v>4.5908935E7</v>
      </c>
      <c r="D58" s="9">
        <v>2.8907298E7</v>
      </c>
      <c r="E58" s="10" t="str">
        <f>IF(C58&gt;percent,"YES","NO")</f>
        <v>YES</v>
      </c>
      <c r="F58" s="19">
        <v>396000.0</v>
      </c>
      <c r="G58" s="12" t="str">
        <f t="shared" si="2"/>
        <v>NOT FUNDED</v>
      </c>
      <c r="H58" s="20">
        <f t="shared" si="3"/>
        <v>228300</v>
      </c>
      <c r="I58" s="14" t="str">
        <f t="shared" si="1"/>
        <v>Over Budget</v>
      </c>
    </row>
    <row r="59">
      <c r="A59" s="18" t="s">
        <v>66</v>
      </c>
      <c r="B59" s="22">
        <v>205.0</v>
      </c>
      <c r="C59" s="9">
        <v>4.4747331E7</v>
      </c>
      <c r="D59" s="9">
        <v>2.9622504E7</v>
      </c>
      <c r="E59" s="10" t="str">
        <f>IF(C59&gt;percent,"YES","NO")</f>
        <v>YES</v>
      </c>
      <c r="F59" s="19">
        <v>495000.0</v>
      </c>
      <c r="G59" s="12" t="str">
        <f t="shared" si="2"/>
        <v>NOT FUNDED</v>
      </c>
      <c r="H59" s="20">
        <f t="shared" si="3"/>
        <v>228300</v>
      </c>
      <c r="I59" s="14" t="str">
        <f t="shared" si="1"/>
        <v>Over Budget</v>
      </c>
    </row>
    <row r="60">
      <c r="A60" s="18" t="s">
        <v>67</v>
      </c>
      <c r="B60" s="22">
        <v>334.0</v>
      </c>
      <c r="C60" s="9">
        <v>4.4274882E7</v>
      </c>
      <c r="D60" s="9">
        <v>4.4765573E7</v>
      </c>
      <c r="E60" s="10" t="str">
        <f>IF(C60&gt;percent,"YES","NO")</f>
        <v>NO</v>
      </c>
      <c r="F60" s="19">
        <v>1000000.0</v>
      </c>
      <c r="G60" s="12" t="str">
        <f t="shared" si="2"/>
        <v>NOT FUNDED</v>
      </c>
      <c r="H60" s="20">
        <f t="shared" si="3"/>
        <v>228300</v>
      </c>
      <c r="I60" s="14" t="str">
        <f t="shared" si="1"/>
        <v>Approval Threshold</v>
      </c>
    </row>
    <row r="61">
      <c r="A61" s="18" t="s">
        <v>68</v>
      </c>
      <c r="B61" s="22">
        <v>180.0</v>
      </c>
      <c r="C61" s="9">
        <v>4.0085271E7</v>
      </c>
      <c r="D61" s="9">
        <v>3.0028666E7</v>
      </c>
      <c r="E61" s="10" t="str">
        <f>IF(C61&gt;percent,"YES","NO")</f>
        <v>NO</v>
      </c>
      <c r="F61" s="19">
        <v>400000.0</v>
      </c>
      <c r="G61" s="12" t="str">
        <f t="shared" si="2"/>
        <v>NOT FUNDED</v>
      </c>
      <c r="H61" s="20">
        <f t="shared" si="3"/>
        <v>228300</v>
      </c>
      <c r="I61" s="14" t="str">
        <f t="shared" si="1"/>
        <v>Approval Threshold</v>
      </c>
    </row>
    <row r="62">
      <c r="A62" s="18" t="s">
        <v>69</v>
      </c>
      <c r="B62" s="22">
        <v>209.0</v>
      </c>
      <c r="C62" s="9">
        <v>3.9469917E7</v>
      </c>
      <c r="D62" s="9">
        <v>3.6642373E7</v>
      </c>
      <c r="E62" s="10" t="str">
        <f>IF(C62&gt;percent,"YES","NO")</f>
        <v>NO</v>
      </c>
      <c r="F62" s="19">
        <v>800000.0</v>
      </c>
      <c r="G62" s="12" t="str">
        <f t="shared" si="2"/>
        <v>NOT FUNDED</v>
      </c>
      <c r="H62" s="20">
        <f t="shared" si="3"/>
        <v>228300</v>
      </c>
      <c r="I62" s="14" t="str">
        <f t="shared" si="1"/>
        <v>Approval Threshold</v>
      </c>
    </row>
    <row r="63">
      <c r="A63" s="18" t="s">
        <v>70</v>
      </c>
      <c r="B63" s="22">
        <v>315.0</v>
      </c>
      <c r="C63" s="9">
        <v>3.7930103E7</v>
      </c>
      <c r="D63" s="9">
        <v>3.5815059E7</v>
      </c>
      <c r="E63" s="10" t="str">
        <f>IF(C63&gt;percent,"YES","NO")</f>
        <v>NO</v>
      </c>
      <c r="F63" s="19">
        <v>780571.0</v>
      </c>
      <c r="G63" s="12" t="str">
        <f t="shared" si="2"/>
        <v>NOT FUNDED</v>
      </c>
      <c r="H63" s="20">
        <f t="shared" si="3"/>
        <v>228300</v>
      </c>
      <c r="I63" s="14" t="str">
        <f t="shared" si="1"/>
        <v>Approval Threshold</v>
      </c>
    </row>
    <row r="64">
      <c r="A64" s="18" t="s">
        <v>71</v>
      </c>
      <c r="B64" s="22">
        <v>170.0</v>
      </c>
      <c r="C64" s="9">
        <v>3.6984316E7</v>
      </c>
      <c r="D64" s="9">
        <v>2.9393583E7</v>
      </c>
      <c r="E64" s="10" t="str">
        <f>IF(C64&gt;percent,"YES","NO")</f>
        <v>NO</v>
      </c>
      <c r="F64" s="19">
        <v>379000.0</v>
      </c>
      <c r="G64" s="12" t="str">
        <f t="shared" si="2"/>
        <v>NOT FUNDED</v>
      </c>
      <c r="H64" s="20">
        <f t="shared" si="3"/>
        <v>228300</v>
      </c>
      <c r="I64" s="14" t="str">
        <f t="shared" si="1"/>
        <v>Approval Threshold</v>
      </c>
    </row>
    <row r="65">
      <c r="A65" s="18" t="s">
        <v>72</v>
      </c>
      <c r="B65" s="22">
        <v>220.0</v>
      </c>
      <c r="C65" s="9">
        <v>3.6975548E7</v>
      </c>
      <c r="D65" s="9">
        <v>3.8296374E7</v>
      </c>
      <c r="E65" s="10" t="str">
        <f>IF(C65&gt;percent,"YES","NO")</f>
        <v>NO</v>
      </c>
      <c r="F65" s="19">
        <v>1000000.0</v>
      </c>
      <c r="G65" s="12" t="str">
        <f t="shared" si="2"/>
        <v>NOT FUNDED</v>
      </c>
      <c r="H65" s="20">
        <f t="shared" si="3"/>
        <v>228300</v>
      </c>
      <c r="I65" s="14" t="str">
        <f t="shared" si="1"/>
        <v>Approval Threshold</v>
      </c>
    </row>
    <row r="66">
      <c r="A66" s="18" t="s">
        <v>73</v>
      </c>
      <c r="B66" s="22">
        <v>211.0</v>
      </c>
      <c r="C66" s="9">
        <v>3.6648229E7</v>
      </c>
      <c r="D66" s="9">
        <v>2.5304543E7</v>
      </c>
      <c r="E66" s="10" t="str">
        <f>IF(C66&gt;percent,"YES","NO")</f>
        <v>NO</v>
      </c>
      <c r="F66" s="19">
        <v>285000.0</v>
      </c>
      <c r="G66" s="12" t="str">
        <f t="shared" si="2"/>
        <v>NOT FUNDED</v>
      </c>
      <c r="H66" s="20">
        <f t="shared" si="3"/>
        <v>228300</v>
      </c>
      <c r="I66" s="14" t="str">
        <f t="shared" si="1"/>
        <v>Approval Threshold</v>
      </c>
    </row>
    <row r="67">
      <c r="A67" s="18" t="s">
        <v>74</v>
      </c>
      <c r="B67" s="22">
        <v>183.0</v>
      </c>
      <c r="C67" s="9">
        <v>3.65587E7</v>
      </c>
      <c r="D67" s="9">
        <v>4.0170368E7</v>
      </c>
      <c r="E67" s="10" t="str">
        <f>IF(C67&gt;percent,"YES","NO")</f>
        <v>NO</v>
      </c>
      <c r="F67" s="19">
        <v>250000.0</v>
      </c>
      <c r="G67" s="12" t="str">
        <f t="shared" si="2"/>
        <v>NOT FUNDED</v>
      </c>
      <c r="H67" s="20">
        <f t="shared" si="3"/>
        <v>228300</v>
      </c>
      <c r="I67" s="14" t="str">
        <f t="shared" si="1"/>
        <v>Approval Threshold</v>
      </c>
    </row>
    <row r="68">
      <c r="A68" s="18" t="s">
        <v>75</v>
      </c>
      <c r="B68" s="22">
        <v>219.0</v>
      </c>
      <c r="C68" s="9">
        <v>3.6507213E7</v>
      </c>
      <c r="D68" s="9">
        <v>3.7600266E7</v>
      </c>
      <c r="E68" s="10" t="str">
        <f>IF(C68&gt;percent,"YES","NO")</f>
        <v>NO</v>
      </c>
      <c r="F68" s="19">
        <v>900000.0</v>
      </c>
      <c r="G68" s="12" t="str">
        <f t="shared" si="2"/>
        <v>NOT FUNDED</v>
      </c>
      <c r="H68" s="20">
        <f t="shared" si="3"/>
        <v>228300</v>
      </c>
      <c r="I68" s="14" t="str">
        <f t="shared" si="1"/>
        <v>Approval Threshold</v>
      </c>
    </row>
    <row r="69">
      <c r="A69" s="18" t="s">
        <v>76</v>
      </c>
      <c r="B69" s="22">
        <v>293.0</v>
      </c>
      <c r="C69" s="9">
        <v>3.6324974E7</v>
      </c>
      <c r="D69" s="9">
        <v>2.7732159E7</v>
      </c>
      <c r="E69" s="10" t="str">
        <f>IF(C69&gt;percent,"YES","NO")</f>
        <v>NO</v>
      </c>
      <c r="F69" s="19">
        <v>500000.0</v>
      </c>
      <c r="G69" s="12" t="str">
        <f t="shared" si="2"/>
        <v>NOT FUNDED</v>
      </c>
      <c r="H69" s="20">
        <f t="shared" si="3"/>
        <v>228300</v>
      </c>
      <c r="I69" s="14" t="str">
        <f t="shared" si="1"/>
        <v>Approval Threshold</v>
      </c>
    </row>
    <row r="70">
      <c r="A70" s="18" t="s">
        <v>77</v>
      </c>
      <c r="B70" s="22">
        <v>163.0</v>
      </c>
      <c r="C70" s="9">
        <v>3.5152056E7</v>
      </c>
      <c r="D70" s="9">
        <v>2.7428086E7</v>
      </c>
      <c r="E70" s="10" t="str">
        <f>IF(C70&gt;percent,"YES","NO")</f>
        <v>NO</v>
      </c>
      <c r="F70" s="19">
        <v>250000.0</v>
      </c>
      <c r="G70" s="12" t="str">
        <f t="shared" si="2"/>
        <v>NOT FUNDED</v>
      </c>
      <c r="H70" s="20">
        <f t="shared" si="3"/>
        <v>228300</v>
      </c>
      <c r="I70" s="14" t="str">
        <f t="shared" si="1"/>
        <v>Approval Threshold</v>
      </c>
    </row>
    <row r="71">
      <c r="A71" s="18" t="s">
        <v>78</v>
      </c>
      <c r="B71" s="22">
        <v>236.0</v>
      </c>
      <c r="C71" s="9">
        <v>3.4962545E7</v>
      </c>
      <c r="D71" s="9">
        <v>2.5936259E7</v>
      </c>
      <c r="E71" s="10" t="str">
        <f>IF(C71&gt;percent,"YES","NO")</f>
        <v>NO</v>
      </c>
      <c r="F71" s="19">
        <v>250000.0</v>
      </c>
      <c r="G71" s="12" t="str">
        <f t="shared" si="2"/>
        <v>NOT FUNDED</v>
      </c>
      <c r="H71" s="20">
        <f t="shared" si="3"/>
        <v>228300</v>
      </c>
      <c r="I71" s="14" t="str">
        <f t="shared" si="1"/>
        <v>Approval Threshold</v>
      </c>
    </row>
    <row r="72">
      <c r="A72" s="18" t="s">
        <v>79</v>
      </c>
      <c r="B72" s="22">
        <v>195.0</v>
      </c>
      <c r="C72" s="9">
        <v>3.3288155E7</v>
      </c>
      <c r="D72" s="9">
        <v>2.9412451E7</v>
      </c>
      <c r="E72" s="10" t="str">
        <f>IF(C72&gt;percent,"YES","NO")</f>
        <v>NO</v>
      </c>
      <c r="F72" s="19">
        <v>250000.0</v>
      </c>
      <c r="G72" s="12" t="str">
        <f t="shared" si="2"/>
        <v>NOT FUNDED</v>
      </c>
      <c r="H72" s="20">
        <f t="shared" si="3"/>
        <v>228300</v>
      </c>
      <c r="I72" s="14" t="str">
        <f t="shared" si="1"/>
        <v>Approval Threshold</v>
      </c>
    </row>
    <row r="73">
      <c r="A73" s="18" t="s">
        <v>80</v>
      </c>
      <c r="B73" s="22">
        <v>185.0</v>
      </c>
      <c r="C73" s="9">
        <v>3.232375E7</v>
      </c>
      <c r="D73" s="9">
        <v>3.4936827E7</v>
      </c>
      <c r="E73" s="10" t="str">
        <f>IF(C73&gt;percent,"YES","NO")</f>
        <v>NO</v>
      </c>
      <c r="F73" s="19">
        <v>828162.0</v>
      </c>
      <c r="G73" s="12" t="str">
        <f t="shared" si="2"/>
        <v>NOT FUNDED</v>
      </c>
      <c r="H73" s="20">
        <f t="shared" si="3"/>
        <v>228300</v>
      </c>
      <c r="I73" s="14" t="str">
        <f t="shared" si="1"/>
        <v>Approval Threshold</v>
      </c>
    </row>
    <row r="74">
      <c r="A74" s="18" t="s">
        <v>81</v>
      </c>
      <c r="B74" s="22">
        <v>232.0</v>
      </c>
      <c r="C74" s="9">
        <v>3.1877471E7</v>
      </c>
      <c r="D74" s="9">
        <v>2.6017252E7</v>
      </c>
      <c r="E74" s="10" t="str">
        <f>IF(C74&gt;percent,"YES","NO")</f>
        <v>NO</v>
      </c>
      <c r="F74" s="19">
        <v>250000.0</v>
      </c>
      <c r="G74" s="12" t="str">
        <f t="shared" si="2"/>
        <v>NOT FUNDED</v>
      </c>
      <c r="H74" s="20">
        <f t="shared" si="3"/>
        <v>228300</v>
      </c>
      <c r="I74" s="14" t="str">
        <f t="shared" si="1"/>
        <v>Approval Threshold</v>
      </c>
    </row>
    <row r="75">
      <c r="A75" s="18" t="s">
        <v>82</v>
      </c>
      <c r="B75" s="22">
        <v>246.0</v>
      </c>
      <c r="C75" s="9">
        <v>3.0242302E7</v>
      </c>
      <c r="D75" s="9">
        <v>3.1180941E7</v>
      </c>
      <c r="E75" s="10" t="str">
        <f>IF(C75&gt;percent,"YES","NO")</f>
        <v>NO</v>
      </c>
      <c r="F75" s="19">
        <v>330000.0</v>
      </c>
      <c r="G75" s="12" t="str">
        <f t="shared" si="2"/>
        <v>NOT FUNDED</v>
      </c>
      <c r="H75" s="20">
        <f t="shared" si="3"/>
        <v>228300</v>
      </c>
      <c r="I75" s="14" t="str">
        <f t="shared" si="1"/>
        <v>Approval Threshold</v>
      </c>
    </row>
    <row r="76">
      <c r="A76" s="18" t="s">
        <v>83</v>
      </c>
      <c r="B76" s="22">
        <v>208.0</v>
      </c>
      <c r="C76" s="9">
        <v>2.9739243E7</v>
      </c>
      <c r="D76" s="9">
        <v>3.0414568E7</v>
      </c>
      <c r="E76" s="10" t="str">
        <f>IF(C76&gt;percent,"YES","NO")</f>
        <v>NO</v>
      </c>
      <c r="F76" s="19">
        <v>665000.0</v>
      </c>
      <c r="G76" s="12" t="str">
        <f t="shared" si="2"/>
        <v>NOT FUNDED</v>
      </c>
      <c r="H76" s="20">
        <f t="shared" si="3"/>
        <v>228300</v>
      </c>
      <c r="I76" s="14" t="str">
        <f t="shared" si="1"/>
        <v>Approval Threshold</v>
      </c>
    </row>
    <row r="77">
      <c r="A77" s="18" t="s">
        <v>84</v>
      </c>
      <c r="B77" s="22">
        <v>209.0</v>
      </c>
      <c r="C77" s="9">
        <v>2.8380585E7</v>
      </c>
      <c r="D77" s="9">
        <v>3.046191E7</v>
      </c>
      <c r="E77" s="10" t="str">
        <f>IF(C77&gt;percent,"YES","NO")</f>
        <v>NO</v>
      </c>
      <c r="F77" s="19">
        <v>497369.0</v>
      </c>
      <c r="G77" s="12" t="str">
        <f t="shared" si="2"/>
        <v>NOT FUNDED</v>
      </c>
      <c r="H77" s="20">
        <f t="shared" si="3"/>
        <v>228300</v>
      </c>
      <c r="I77" s="14" t="str">
        <f t="shared" si="1"/>
        <v>Approval Threshold</v>
      </c>
    </row>
    <row r="78">
      <c r="A78" s="18" t="s">
        <v>85</v>
      </c>
      <c r="B78" s="22">
        <v>139.0</v>
      </c>
      <c r="C78" s="9">
        <v>2.7532109E7</v>
      </c>
      <c r="D78" s="9">
        <v>2.6278041E7</v>
      </c>
      <c r="E78" s="10" t="str">
        <f>IF(C78&gt;percent,"YES","NO")</f>
        <v>NO</v>
      </c>
      <c r="F78" s="19">
        <v>350000.0</v>
      </c>
      <c r="G78" s="12" t="str">
        <f t="shared" si="2"/>
        <v>NOT FUNDED</v>
      </c>
      <c r="H78" s="20">
        <f t="shared" si="3"/>
        <v>228300</v>
      </c>
      <c r="I78" s="14" t="str">
        <f t="shared" si="1"/>
        <v>Approval Threshold</v>
      </c>
    </row>
    <row r="79">
      <c r="A79" s="18" t="s">
        <v>86</v>
      </c>
      <c r="B79" s="22">
        <v>219.0</v>
      </c>
      <c r="C79" s="9">
        <v>2.7224016E7</v>
      </c>
      <c r="D79" s="9">
        <v>4.3479732E7</v>
      </c>
      <c r="E79" s="10" t="str">
        <f>IF(C79&gt;percent,"YES","NO")</f>
        <v>NO</v>
      </c>
      <c r="F79" s="19">
        <v>370000.0</v>
      </c>
      <c r="G79" s="12" t="str">
        <f t="shared" si="2"/>
        <v>NOT FUNDED</v>
      </c>
      <c r="H79" s="20">
        <f t="shared" si="3"/>
        <v>228300</v>
      </c>
      <c r="I79" s="14" t="str">
        <f t="shared" si="1"/>
        <v>Approval Threshold</v>
      </c>
    </row>
    <row r="80">
      <c r="A80" s="18" t="s">
        <v>87</v>
      </c>
      <c r="B80" s="22">
        <v>180.0</v>
      </c>
      <c r="C80" s="9">
        <v>2.6734111E7</v>
      </c>
      <c r="D80" s="9">
        <v>3.2219737E7</v>
      </c>
      <c r="E80" s="10" t="str">
        <f>IF(C80&gt;percent,"YES","NO")</f>
        <v>NO</v>
      </c>
      <c r="F80" s="19">
        <v>770000.0</v>
      </c>
      <c r="G80" s="12" t="str">
        <f t="shared" si="2"/>
        <v>NOT FUNDED</v>
      </c>
      <c r="H80" s="20">
        <f t="shared" si="3"/>
        <v>228300</v>
      </c>
      <c r="I80" s="14" t="str">
        <f t="shared" si="1"/>
        <v>Approval Threshold</v>
      </c>
    </row>
    <row r="81">
      <c r="A81" s="18" t="s">
        <v>88</v>
      </c>
      <c r="B81" s="22">
        <v>229.0</v>
      </c>
      <c r="C81" s="9">
        <v>2.6717861E7</v>
      </c>
      <c r="D81" s="9">
        <v>3.9926463E7</v>
      </c>
      <c r="E81" s="10" t="str">
        <f>IF(C81&gt;percent,"YES","NO")</f>
        <v>NO</v>
      </c>
      <c r="F81" s="19">
        <v>900000.0</v>
      </c>
      <c r="G81" s="12" t="str">
        <f t="shared" si="2"/>
        <v>NOT FUNDED</v>
      </c>
      <c r="H81" s="20">
        <f t="shared" si="3"/>
        <v>228300</v>
      </c>
      <c r="I81" s="14" t="str">
        <f t="shared" si="1"/>
        <v>Approval Threshold</v>
      </c>
    </row>
    <row r="82">
      <c r="A82" s="18" t="s">
        <v>89</v>
      </c>
      <c r="B82" s="22">
        <v>200.0</v>
      </c>
      <c r="C82" s="9">
        <v>2.6010391E7</v>
      </c>
      <c r="D82" s="9">
        <v>3.0568595E7</v>
      </c>
      <c r="E82" s="10" t="str">
        <f>IF(C82&gt;percent,"YES","NO")</f>
        <v>NO</v>
      </c>
      <c r="F82" s="19">
        <v>480000.0</v>
      </c>
      <c r="G82" s="12" t="str">
        <f t="shared" si="2"/>
        <v>NOT FUNDED</v>
      </c>
      <c r="H82" s="20">
        <f t="shared" si="3"/>
        <v>228300</v>
      </c>
      <c r="I82" s="14" t="str">
        <f t="shared" si="1"/>
        <v>Approval Threshold</v>
      </c>
    </row>
    <row r="83">
      <c r="A83" s="18" t="s">
        <v>90</v>
      </c>
      <c r="B83" s="22">
        <v>237.0</v>
      </c>
      <c r="C83" s="9">
        <v>2.4893485E7</v>
      </c>
      <c r="D83" s="9">
        <v>4.0859823E7</v>
      </c>
      <c r="E83" s="10" t="str">
        <f>IF(C83&gt;percent,"YES","NO")</f>
        <v>NO</v>
      </c>
      <c r="F83" s="19">
        <v>1000000.0</v>
      </c>
      <c r="G83" s="12" t="str">
        <f t="shared" si="2"/>
        <v>NOT FUNDED</v>
      </c>
      <c r="H83" s="20">
        <f t="shared" si="3"/>
        <v>228300</v>
      </c>
      <c r="I83" s="14" t="str">
        <f t="shared" si="1"/>
        <v>Approval Threshold</v>
      </c>
    </row>
    <row r="84">
      <c r="A84" s="18" t="s">
        <v>91</v>
      </c>
      <c r="B84" s="22">
        <v>230.0</v>
      </c>
      <c r="C84" s="9">
        <v>2.4254457E7</v>
      </c>
      <c r="D84" s="9">
        <v>4.546102E7</v>
      </c>
      <c r="E84" s="10" t="str">
        <f>IF(C84&gt;percent,"YES","NO")</f>
        <v>NO</v>
      </c>
      <c r="F84" s="19">
        <v>1000000.0</v>
      </c>
      <c r="G84" s="12" t="str">
        <f t="shared" si="2"/>
        <v>NOT FUNDED</v>
      </c>
      <c r="H84" s="20">
        <f t="shared" si="3"/>
        <v>228300</v>
      </c>
      <c r="I84" s="14" t="str">
        <f t="shared" si="1"/>
        <v>Approval Threshold</v>
      </c>
    </row>
    <row r="85">
      <c r="A85" s="18" t="s">
        <v>92</v>
      </c>
      <c r="B85" s="22">
        <v>238.0</v>
      </c>
      <c r="C85" s="9">
        <v>2.3263554E7</v>
      </c>
      <c r="D85" s="9">
        <v>3.1732589E7</v>
      </c>
      <c r="E85" s="10" t="str">
        <f>IF(C85&gt;percent,"YES","NO")</f>
        <v>NO</v>
      </c>
      <c r="F85" s="19">
        <v>360000.0</v>
      </c>
      <c r="G85" s="12" t="str">
        <f t="shared" si="2"/>
        <v>NOT FUNDED</v>
      </c>
      <c r="H85" s="20">
        <f t="shared" si="3"/>
        <v>228300</v>
      </c>
      <c r="I85" s="14" t="str">
        <f t="shared" si="1"/>
        <v>Approval Threshold</v>
      </c>
    </row>
    <row r="86">
      <c r="A86" s="18" t="s">
        <v>93</v>
      </c>
      <c r="B86" s="22">
        <v>248.0</v>
      </c>
      <c r="C86" s="9">
        <v>2.2038215E7</v>
      </c>
      <c r="D86" s="9">
        <v>3.6804886E7</v>
      </c>
      <c r="E86" s="10" t="str">
        <f>IF(C86&gt;percent,"YES","NO")</f>
        <v>NO</v>
      </c>
      <c r="F86" s="19">
        <v>600000.0</v>
      </c>
      <c r="G86" s="12" t="str">
        <f t="shared" si="2"/>
        <v>NOT FUNDED</v>
      </c>
      <c r="H86" s="20">
        <f t="shared" si="3"/>
        <v>228300</v>
      </c>
      <c r="I86" s="14" t="str">
        <f t="shared" si="1"/>
        <v>Approval Threshold</v>
      </c>
    </row>
    <row r="87">
      <c r="A87" s="18" t="s">
        <v>94</v>
      </c>
      <c r="B87" s="22">
        <v>161.0</v>
      </c>
      <c r="C87" s="9">
        <v>2.1933491E7</v>
      </c>
      <c r="D87" s="9">
        <v>3.2032252E7</v>
      </c>
      <c r="E87" s="10" t="str">
        <f>IF(C87&gt;percent,"YES","NO")</f>
        <v>NO</v>
      </c>
      <c r="F87" s="19">
        <v>500000.0</v>
      </c>
      <c r="G87" s="12" t="str">
        <f t="shared" si="2"/>
        <v>NOT FUNDED</v>
      </c>
      <c r="H87" s="20">
        <f t="shared" si="3"/>
        <v>228300</v>
      </c>
      <c r="I87" s="14" t="str">
        <f t="shared" si="1"/>
        <v>Approval Threshold</v>
      </c>
    </row>
    <row r="88">
      <c r="A88" s="18" t="s">
        <v>95</v>
      </c>
      <c r="B88" s="22">
        <v>190.0</v>
      </c>
      <c r="C88" s="9">
        <v>2.1816591E7</v>
      </c>
      <c r="D88" s="9">
        <v>4.5687798E7</v>
      </c>
      <c r="E88" s="10" t="str">
        <f>IF(C88&gt;percent,"YES","NO")</f>
        <v>NO</v>
      </c>
      <c r="F88" s="19">
        <v>1000000.0</v>
      </c>
      <c r="G88" s="12" t="str">
        <f t="shared" si="2"/>
        <v>NOT FUNDED</v>
      </c>
      <c r="H88" s="20">
        <f t="shared" si="3"/>
        <v>228300</v>
      </c>
      <c r="I88" s="14" t="str">
        <f t="shared" si="1"/>
        <v>Approval Threshold</v>
      </c>
    </row>
    <row r="89">
      <c r="A89" s="18" t="s">
        <v>96</v>
      </c>
      <c r="B89" s="22">
        <v>207.0</v>
      </c>
      <c r="C89" s="9">
        <v>2.1722464E7</v>
      </c>
      <c r="D89" s="9">
        <v>3.1318859E7</v>
      </c>
      <c r="E89" s="10" t="str">
        <f>IF(C89&gt;percent,"YES","NO")</f>
        <v>NO</v>
      </c>
      <c r="F89" s="19">
        <v>255000.0</v>
      </c>
      <c r="G89" s="12" t="str">
        <f t="shared" si="2"/>
        <v>NOT FUNDED</v>
      </c>
      <c r="H89" s="20">
        <f t="shared" si="3"/>
        <v>228300</v>
      </c>
      <c r="I89" s="14" t="str">
        <f t="shared" si="1"/>
        <v>Approval Threshold</v>
      </c>
    </row>
    <row r="90">
      <c r="A90" s="18" t="s">
        <v>97</v>
      </c>
      <c r="B90" s="22">
        <v>133.0</v>
      </c>
      <c r="C90" s="9">
        <v>2.1430537E7</v>
      </c>
      <c r="D90" s="9">
        <v>2.7967042E7</v>
      </c>
      <c r="E90" s="10" t="str">
        <f>IF(C90&gt;percent,"YES","NO")</f>
        <v>NO</v>
      </c>
      <c r="F90" s="19">
        <v>300000.0</v>
      </c>
      <c r="G90" s="12" t="str">
        <f t="shared" si="2"/>
        <v>NOT FUNDED</v>
      </c>
      <c r="H90" s="20">
        <f t="shared" si="3"/>
        <v>228300</v>
      </c>
      <c r="I90" s="14" t="str">
        <f t="shared" si="1"/>
        <v>Approval Threshold</v>
      </c>
    </row>
    <row r="91">
      <c r="A91" s="18" t="s">
        <v>98</v>
      </c>
      <c r="B91" s="22">
        <v>196.0</v>
      </c>
      <c r="C91" s="9">
        <v>2.0245998E7</v>
      </c>
      <c r="D91" s="9">
        <v>2.9857264E7</v>
      </c>
      <c r="E91" s="10" t="str">
        <f>IF(C91&gt;percent,"YES","NO")</f>
        <v>NO</v>
      </c>
      <c r="F91" s="19">
        <v>415000.0</v>
      </c>
      <c r="G91" s="12" t="str">
        <f t="shared" si="2"/>
        <v>NOT FUNDED</v>
      </c>
      <c r="H91" s="20">
        <f t="shared" si="3"/>
        <v>228300</v>
      </c>
      <c r="I91" s="14" t="str">
        <f t="shared" si="1"/>
        <v>Approval Threshold</v>
      </c>
    </row>
    <row r="92">
      <c r="A92" s="18" t="s">
        <v>99</v>
      </c>
      <c r="B92" s="22">
        <v>190.0</v>
      </c>
      <c r="C92" s="9">
        <v>2.015166E7</v>
      </c>
      <c r="D92" s="9">
        <v>3.067078E7</v>
      </c>
      <c r="E92" s="10" t="str">
        <f>IF(C92&gt;percent,"YES","NO")</f>
        <v>NO</v>
      </c>
      <c r="F92" s="19">
        <v>335000.0</v>
      </c>
      <c r="G92" s="12" t="str">
        <f t="shared" si="2"/>
        <v>NOT FUNDED</v>
      </c>
      <c r="H92" s="20">
        <f t="shared" si="3"/>
        <v>228300</v>
      </c>
      <c r="I92" s="14" t="str">
        <f t="shared" si="1"/>
        <v>Approval Threshold</v>
      </c>
    </row>
    <row r="93">
      <c r="A93" s="18" t="s">
        <v>100</v>
      </c>
      <c r="B93" s="22">
        <v>194.0</v>
      </c>
      <c r="C93" s="9">
        <v>1.8706214E7</v>
      </c>
      <c r="D93" s="9">
        <v>3.1441171E7</v>
      </c>
      <c r="E93" s="10" t="str">
        <f>IF(C93&gt;percent,"YES","NO")</f>
        <v>NO</v>
      </c>
      <c r="F93" s="19">
        <v>300000.0</v>
      </c>
      <c r="G93" s="12" t="str">
        <f t="shared" si="2"/>
        <v>NOT FUNDED</v>
      </c>
      <c r="H93" s="20">
        <f t="shared" si="3"/>
        <v>228300</v>
      </c>
      <c r="I93" s="14" t="str">
        <f t="shared" si="1"/>
        <v>Approval Threshold</v>
      </c>
    </row>
    <row r="94">
      <c r="A94" s="18" t="s">
        <v>101</v>
      </c>
      <c r="B94" s="22">
        <v>157.0</v>
      </c>
      <c r="C94" s="9">
        <v>1.7279168E7</v>
      </c>
      <c r="D94" s="9">
        <v>2.9962129E7</v>
      </c>
      <c r="E94" s="10" t="str">
        <f>IF(C94&gt;percent,"YES","NO")</f>
        <v>NO</v>
      </c>
      <c r="F94" s="19">
        <v>250000.0</v>
      </c>
      <c r="G94" s="12" t="str">
        <f t="shared" si="2"/>
        <v>NOT FUNDED</v>
      </c>
      <c r="H94" s="20">
        <f t="shared" si="3"/>
        <v>228300</v>
      </c>
      <c r="I94" s="14" t="str">
        <f t="shared" si="1"/>
        <v>Approval Threshold</v>
      </c>
    </row>
    <row r="95">
      <c r="A95" s="18" t="s">
        <v>102</v>
      </c>
      <c r="B95" s="22">
        <v>186.0</v>
      </c>
      <c r="C95" s="9">
        <v>1.6632477E7</v>
      </c>
      <c r="D95" s="9">
        <v>2.9352073E7</v>
      </c>
      <c r="E95" s="10" t="str">
        <f>IF(C95&gt;percent,"YES","NO")</f>
        <v>NO</v>
      </c>
      <c r="F95" s="19">
        <v>294644.0</v>
      </c>
      <c r="G95" s="12" t="str">
        <f t="shared" si="2"/>
        <v>NOT FUNDED</v>
      </c>
      <c r="H95" s="20">
        <f t="shared" si="3"/>
        <v>228300</v>
      </c>
      <c r="I95" s="14" t="str">
        <f t="shared" si="1"/>
        <v>Approval Threshold</v>
      </c>
    </row>
    <row r="96">
      <c r="A96" s="18" t="s">
        <v>103</v>
      </c>
      <c r="B96" s="22">
        <v>267.0</v>
      </c>
      <c r="C96" s="9">
        <v>1.5465765E7</v>
      </c>
      <c r="D96" s="9">
        <v>2.9885637E7</v>
      </c>
      <c r="E96" s="10" t="str">
        <f>IF(C96&gt;percent,"YES","NO")</f>
        <v>NO</v>
      </c>
      <c r="F96" s="19">
        <v>250000.0</v>
      </c>
      <c r="G96" s="12" t="str">
        <f t="shared" si="2"/>
        <v>NOT FUNDED</v>
      </c>
      <c r="H96" s="20">
        <f t="shared" si="3"/>
        <v>228300</v>
      </c>
      <c r="I96" s="14" t="str">
        <f t="shared" si="1"/>
        <v>Approval Threshold</v>
      </c>
    </row>
    <row r="97">
      <c r="A97" s="18" t="s">
        <v>104</v>
      </c>
      <c r="B97" s="22">
        <v>164.0</v>
      </c>
      <c r="C97" s="9">
        <v>1.5249161E7</v>
      </c>
      <c r="D97" s="9">
        <v>2.9164674E7</v>
      </c>
      <c r="E97" s="10" t="str">
        <f>IF(C97&gt;percent,"YES","NO")</f>
        <v>NO</v>
      </c>
      <c r="F97" s="19">
        <v>300000.0</v>
      </c>
      <c r="G97" s="12" t="str">
        <f t="shared" si="2"/>
        <v>NOT FUNDED</v>
      </c>
      <c r="H97" s="20">
        <f t="shared" si="3"/>
        <v>228300</v>
      </c>
      <c r="I97" s="14" t="str">
        <f t="shared" si="1"/>
        <v>Approval Threshold</v>
      </c>
    </row>
    <row r="98">
      <c r="A98" s="18" t="s">
        <v>105</v>
      </c>
      <c r="B98" s="22">
        <v>179.0</v>
      </c>
      <c r="C98" s="9">
        <v>1.5175248E7</v>
      </c>
      <c r="D98" s="9">
        <v>3.8125672E7</v>
      </c>
      <c r="E98" s="10" t="str">
        <f>IF(C98&gt;percent,"YES","NO")</f>
        <v>NO</v>
      </c>
      <c r="F98" s="19">
        <v>965000.0</v>
      </c>
      <c r="G98" s="12" t="str">
        <f t="shared" si="2"/>
        <v>NOT FUNDED</v>
      </c>
      <c r="H98" s="20">
        <f t="shared" si="3"/>
        <v>228300</v>
      </c>
      <c r="I98" s="14" t="str">
        <f t="shared" si="1"/>
        <v>Approval Threshold</v>
      </c>
    </row>
    <row r="99">
      <c r="A99" s="18" t="s">
        <v>106</v>
      </c>
      <c r="B99" s="22">
        <v>171.0</v>
      </c>
      <c r="C99" s="9">
        <v>1.4767638E7</v>
      </c>
      <c r="D99" s="9">
        <v>3.0783224E7</v>
      </c>
      <c r="E99" s="10" t="str">
        <f>IF(C99&gt;percent,"YES","NO")</f>
        <v>NO</v>
      </c>
      <c r="F99" s="19">
        <v>360000.0</v>
      </c>
      <c r="G99" s="12" t="str">
        <f t="shared" si="2"/>
        <v>NOT FUNDED</v>
      </c>
      <c r="H99" s="20">
        <f t="shared" si="3"/>
        <v>228300</v>
      </c>
      <c r="I99" s="14" t="str">
        <f t="shared" si="1"/>
        <v>Approval Threshold</v>
      </c>
    </row>
    <row r="100">
      <c r="A100" s="18" t="s">
        <v>107</v>
      </c>
      <c r="B100" s="22">
        <v>156.0</v>
      </c>
      <c r="C100" s="9">
        <v>1.4487057E7</v>
      </c>
      <c r="D100" s="9">
        <v>2.9793743E7</v>
      </c>
      <c r="E100" s="10" t="str">
        <f>IF(C100&gt;percent,"YES","NO")</f>
        <v>NO</v>
      </c>
      <c r="F100" s="19">
        <v>250000.0</v>
      </c>
      <c r="G100" s="12" t="str">
        <f t="shared" si="2"/>
        <v>NOT FUNDED</v>
      </c>
      <c r="H100" s="20">
        <f t="shared" si="3"/>
        <v>228300</v>
      </c>
      <c r="I100" s="14" t="str">
        <f t="shared" si="1"/>
        <v>Approval Threshold</v>
      </c>
    </row>
    <row r="101">
      <c r="A101" s="18" t="s">
        <v>108</v>
      </c>
      <c r="B101" s="22">
        <v>169.0</v>
      </c>
      <c r="C101" s="9">
        <v>1.401078E7</v>
      </c>
      <c r="D101" s="9">
        <v>2.8106831E7</v>
      </c>
      <c r="E101" s="10" t="str">
        <f>IF(C101&gt;percent,"YES","NO")</f>
        <v>NO</v>
      </c>
      <c r="F101" s="19">
        <v>350000.0</v>
      </c>
      <c r="G101" s="12" t="str">
        <f t="shared" si="2"/>
        <v>NOT FUNDED</v>
      </c>
      <c r="H101" s="20">
        <f t="shared" si="3"/>
        <v>228300</v>
      </c>
      <c r="I101" s="14" t="str">
        <f t="shared" si="1"/>
        <v>Approval Threshold</v>
      </c>
    </row>
    <row r="102">
      <c r="A102" s="18" t="s">
        <v>109</v>
      </c>
      <c r="B102" s="22">
        <v>175.0</v>
      </c>
      <c r="C102" s="9">
        <v>1.3938667E7</v>
      </c>
      <c r="D102" s="9">
        <v>3.221184E7</v>
      </c>
      <c r="E102" s="10" t="str">
        <f>IF(C102&gt;percent,"YES","NO")</f>
        <v>NO</v>
      </c>
      <c r="F102" s="19">
        <v>450000.0</v>
      </c>
      <c r="G102" s="12" t="str">
        <f t="shared" si="2"/>
        <v>NOT FUNDED</v>
      </c>
      <c r="H102" s="20">
        <f t="shared" si="3"/>
        <v>228300</v>
      </c>
      <c r="I102" s="14" t="str">
        <f t="shared" si="1"/>
        <v>Approval Threshold</v>
      </c>
    </row>
    <row r="103">
      <c r="A103" s="18" t="s">
        <v>110</v>
      </c>
      <c r="B103" s="22">
        <v>190.0</v>
      </c>
      <c r="C103" s="9">
        <v>1.3809899E7</v>
      </c>
      <c r="D103" s="9">
        <v>2.8822799E7</v>
      </c>
      <c r="E103" s="10" t="str">
        <f>IF(C103&gt;percent,"YES","NO")</f>
        <v>NO</v>
      </c>
      <c r="F103" s="19">
        <v>365000.0</v>
      </c>
      <c r="G103" s="12" t="str">
        <f t="shared" si="2"/>
        <v>NOT FUNDED</v>
      </c>
      <c r="H103" s="20">
        <f t="shared" si="3"/>
        <v>228300</v>
      </c>
      <c r="I103" s="14" t="str">
        <f t="shared" si="1"/>
        <v>Approval Threshold</v>
      </c>
    </row>
    <row r="104">
      <c r="A104" s="18" t="s">
        <v>111</v>
      </c>
      <c r="B104" s="22">
        <v>173.0</v>
      </c>
      <c r="C104" s="9">
        <v>1.3251999E7</v>
      </c>
      <c r="D104" s="9">
        <v>3.4708846E7</v>
      </c>
      <c r="E104" s="10" t="str">
        <f>IF(C104&gt;percent,"YES","NO")</f>
        <v>NO</v>
      </c>
      <c r="F104" s="19">
        <v>250000.0</v>
      </c>
      <c r="G104" s="12" t="str">
        <f t="shared" si="2"/>
        <v>NOT FUNDED</v>
      </c>
      <c r="H104" s="20">
        <f t="shared" si="3"/>
        <v>228300</v>
      </c>
      <c r="I104" s="14" t="str">
        <f t="shared" si="1"/>
        <v>Approval Threshold</v>
      </c>
    </row>
    <row r="105">
      <c r="A105" s="18" t="s">
        <v>112</v>
      </c>
      <c r="B105" s="22">
        <v>171.0</v>
      </c>
      <c r="C105" s="9">
        <v>1.1462638E7</v>
      </c>
      <c r="D105" s="9">
        <v>3.5657967E7</v>
      </c>
      <c r="E105" s="10" t="str">
        <f>IF(C105&gt;percent,"YES","NO")</f>
        <v>NO</v>
      </c>
      <c r="F105" s="19">
        <v>744891.0</v>
      </c>
      <c r="G105" s="12" t="str">
        <f t="shared" si="2"/>
        <v>NOT FUNDED</v>
      </c>
      <c r="H105" s="20">
        <f t="shared" si="3"/>
        <v>228300</v>
      </c>
      <c r="I105" s="14" t="str">
        <f t="shared" si="1"/>
        <v>Approval Threshold</v>
      </c>
    </row>
    <row r="106">
      <c r="A106" s="18" t="s">
        <v>113</v>
      </c>
      <c r="B106" s="22">
        <v>154.0</v>
      </c>
      <c r="C106" s="9">
        <v>1.1182366E7</v>
      </c>
      <c r="D106" s="9">
        <v>2.9567936E7</v>
      </c>
      <c r="E106" s="10" t="str">
        <f>IF(C106&gt;percent,"YES","NO")</f>
        <v>NO</v>
      </c>
      <c r="F106" s="19">
        <v>250000.0</v>
      </c>
      <c r="G106" s="12" t="str">
        <f t="shared" si="2"/>
        <v>NOT FUNDED</v>
      </c>
      <c r="H106" s="20">
        <f t="shared" si="3"/>
        <v>228300</v>
      </c>
      <c r="I106" s="14" t="str">
        <f t="shared" si="1"/>
        <v>Approval Threshold</v>
      </c>
    </row>
    <row r="107">
      <c r="A107" s="18" t="s">
        <v>114</v>
      </c>
      <c r="B107" s="22">
        <v>215.0</v>
      </c>
      <c r="C107" s="9">
        <v>1.0242297E7</v>
      </c>
      <c r="D107" s="9">
        <v>3.2434679E7</v>
      </c>
      <c r="E107" s="10" t="str">
        <f>IF(C107&gt;percent,"YES","NO")</f>
        <v>NO</v>
      </c>
      <c r="F107" s="19">
        <v>310460.0</v>
      </c>
      <c r="G107" s="12" t="str">
        <f t="shared" si="2"/>
        <v>NOT FUNDED</v>
      </c>
      <c r="H107" s="20">
        <f t="shared" si="3"/>
        <v>228300</v>
      </c>
      <c r="I107" s="14" t="str">
        <f t="shared" si="1"/>
        <v>Approval Threshold</v>
      </c>
    </row>
    <row r="108">
      <c r="A108" s="18" t="s">
        <v>115</v>
      </c>
      <c r="B108" s="22">
        <v>139.0</v>
      </c>
      <c r="C108" s="9">
        <v>9555450.0</v>
      </c>
      <c r="D108" s="9">
        <v>2.7952585E7</v>
      </c>
      <c r="E108" s="10" t="str">
        <f>IF(C108&gt;percent,"YES","NO")</f>
        <v>NO</v>
      </c>
      <c r="F108" s="19">
        <v>350000.0</v>
      </c>
      <c r="G108" s="12" t="str">
        <f t="shared" si="2"/>
        <v>NOT FUNDED</v>
      </c>
      <c r="H108" s="20">
        <f t="shared" si="3"/>
        <v>228300</v>
      </c>
      <c r="I108" s="14" t="str">
        <f t="shared" si="1"/>
        <v>Approval Threshold</v>
      </c>
    </row>
    <row r="109">
      <c r="A109" s="18" t="s">
        <v>116</v>
      </c>
      <c r="B109" s="22">
        <v>146.0</v>
      </c>
      <c r="C109" s="9">
        <v>8493168.0</v>
      </c>
      <c r="D109" s="9">
        <v>3.0184432E7</v>
      </c>
      <c r="E109" s="10" t="str">
        <f>IF(C109&gt;percent,"YES","NO")</f>
        <v>NO</v>
      </c>
      <c r="F109" s="19">
        <v>400000.0</v>
      </c>
      <c r="G109" s="12" t="str">
        <f t="shared" si="2"/>
        <v>NOT FUNDED</v>
      </c>
      <c r="H109" s="20">
        <f t="shared" si="3"/>
        <v>228300</v>
      </c>
      <c r="I109" s="14" t="str">
        <f t="shared" si="1"/>
        <v>Approval Threshold</v>
      </c>
    </row>
  </sheetData>
  <autoFilter ref="$A$1:$F$109">
    <sortState ref="A1:F109">
      <sortCondition descending="1" ref="C1:C109"/>
    </sortState>
  </autoFilter>
  <conditionalFormatting sqref="G2:G109">
    <cfRule type="cellIs" dxfId="0" priority="1" operator="equal">
      <formula>"FUNDED"</formula>
    </cfRule>
  </conditionalFormatting>
  <conditionalFormatting sqref="G2:G109">
    <cfRule type="cellIs" dxfId="1" priority="2" operator="equal">
      <formula>"NOT FUNDED"</formula>
    </cfRule>
  </conditionalFormatting>
  <conditionalFormatting sqref="I2:I109">
    <cfRule type="cellIs" dxfId="0" priority="3" operator="greaterThan">
      <formula>999</formula>
    </cfRule>
  </conditionalFormatting>
  <conditionalFormatting sqref="I2:I109">
    <cfRule type="cellIs" dxfId="0" priority="4" operator="greaterThan">
      <formula>999</formula>
    </cfRule>
  </conditionalFormatting>
  <conditionalFormatting sqref="I2:I109">
    <cfRule type="containsText" dxfId="1" priority="5" operator="containsText" text="NOT FUNDED">
      <formula>NOT(ISERROR(SEARCH(("NOT FUNDED"),(I2))))</formula>
    </cfRule>
  </conditionalFormatting>
  <conditionalFormatting sqref="I2:I109">
    <cfRule type="cellIs" dxfId="2" priority="6" operator="equal">
      <formula>"Over Budget"</formula>
    </cfRule>
  </conditionalFormatting>
  <conditionalFormatting sqref="I2:I109">
    <cfRule type="cellIs" dxfId="1" priority="7" operator="equal">
      <formula>"Approval Threshold"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</hyperlinks>
  <drawing r:id="rId10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4.0"/>
    <col customWidth="1" min="3" max="4" width="17.88"/>
    <col customWidth="1" min="5" max="5" width="11.88"/>
    <col customWidth="1" min="6" max="6" width="15.63"/>
    <col customWidth="1" min="7" max="7" width="12.25"/>
    <col customWidth="1" min="8" max="8" width="13.25"/>
    <col customWidth="1" min="9" max="9" width="2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7" t="s">
        <v>7</v>
      </c>
      <c r="I1" s="6" t="s">
        <v>8</v>
      </c>
    </row>
    <row r="2">
      <c r="A2" s="18" t="s">
        <v>117</v>
      </c>
      <c r="B2" s="8">
        <v>282.0</v>
      </c>
      <c r="C2" s="9">
        <v>1.38574133E8</v>
      </c>
      <c r="D2" s="9">
        <v>2.3866072E7</v>
      </c>
      <c r="E2" s="10" t="str">
        <f>IF(C2&gt;percent,"YES","NO")</f>
        <v>YES</v>
      </c>
      <c r="F2" s="19">
        <v>100000.0</v>
      </c>
      <c r="G2" s="12" t="str">
        <f>If(concept&gt;=F2,IF(E2="Yes","FUNDED","NOT FUNDED"),"NOT FUNDED")</f>
        <v>FUNDED</v>
      </c>
      <c r="H2" s="20">
        <f>If(concept&gt;=F2,concept-F2,concept)</f>
        <v>3900000</v>
      </c>
      <c r="I2" s="14" t="str">
        <f t="shared" ref="I2:I461" si="1">If(E2="YES",IF(G2="FUNDED","","Over Budget"),"Approval Threshold")</f>
        <v/>
      </c>
    </row>
    <row r="3">
      <c r="A3" s="18" t="s">
        <v>118</v>
      </c>
      <c r="B3" s="8">
        <v>133.0</v>
      </c>
      <c r="C3" s="9">
        <v>1.25807069E8</v>
      </c>
      <c r="D3" s="9">
        <v>4478445.0</v>
      </c>
      <c r="E3" s="10" t="str">
        <f>IF(C3&gt;percent,"YES","NO")</f>
        <v>YES</v>
      </c>
      <c r="F3" s="19">
        <v>94500.0</v>
      </c>
      <c r="G3" s="12" t="str">
        <f t="shared" ref="G3:G461" si="2">If(H2&gt;=F3,IF(E3="Yes","FUNDED","NOT FUNDED"),"NOT FUNDED")</f>
        <v>FUNDED</v>
      </c>
      <c r="H3" s="20">
        <f t="shared" ref="H3:H461" si="3">If(G3="FUNDED",IF(H2&gt;=F3,(H2-F3),H2),H2)</f>
        <v>3805500</v>
      </c>
      <c r="I3" s="14" t="str">
        <f t="shared" si="1"/>
        <v/>
      </c>
    </row>
    <row r="4">
      <c r="A4" s="18" t="s">
        <v>119</v>
      </c>
      <c r="B4" s="8">
        <v>276.0</v>
      </c>
      <c r="C4" s="9">
        <v>1.1659279E8</v>
      </c>
      <c r="D4" s="9">
        <v>2.032704E7</v>
      </c>
      <c r="E4" s="10" t="str">
        <f>IF(C4&gt;percent,"YES","NO")</f>
        <v>YES</v>
      </c>
      <c r="F4" s="19">
        <v>98500.0</v>
      </c>
      <c r="G4" s="12" t="str">
        <f t="shared" si="2"/>
        <v>FUNDED</v>
      </c>
      <c r="H4" s="20">
        <f t="shared" si="3"/>
        <v>3707000</v>
      </c>
      <c r="I4" s="14" t="str">
        <f t="shared" si="1"/>
        <v/>
      </c>
    </row>
    <row r="5">
      <c r="A5" s="18" t="s">
        <v>120</v>
      </c>
      <c r="B5" s="8">
        <v>251.0</v>
      </c>
      <c r="C5" s="9">
        <v>9.8586152E7</v>
      </c>
      <c r="D5" s="9">
        <v>5975404.0</v>
      </c>
      <c r="E5" s="10" t="str">
        <f>IF(C5&gt;percent,"YES","NO")</f>
        <v>YES</v>
      </c>
      <c r="F5" s="19">
        <v>38000.0</v>
      </c>
      <c r="G5" s="12" t="str">
        <f t="shared" si="2"/>
        <v>FUNDED</v>
      </c>
      <c r="H5" s="20">
        <f t="shared" si="3"/>
        <v>3669000</v>
      </c>
      <c r="I5" s="14" t="str">
        <f t="shared" si="1"/>
        <v/>
      </c>
    </row>
    <row r="6">
      <c r="A6" s="18" t="s">
        <v>121</v>
      </c>
      <c r="B6" s="8">
        <v>221.0</v>
      </c>
      <c r="C6" s="9">
        <v>9.3233486E7</v>
      </c>
      <c r="D6" s="9">
        <v>9503629.0</v>
      </c>
      <c r="E6" s="10" t="str">
        <f>IF(C6&gt;percent,"YES","NO")</f>
        <v>YES</v>
      </c>
      <c r="F6" s="19">
        <v>95000.0</v>
      </c>
      <c r="G6" s="12" t="str">
        <f t="shared" si="2"/>
        <v>FUNDED</v>
      </c>
      <c r="H6" s="20">
        <f t="shared" si="3"/>
        <v>3574000</v>
      </c>
      <c r="I6" s="14" t="str">
        <f t="shared" si="1"/>
        <v/>
      </c>
    </row>
    <row r="7">
      <c r="A7" s="18" t="s">
        <v>122</v>
      </c>
      <c r="B7" s="8">
        <v>212.0</v>
      </c>
      <c r="C7" s="9">
        <v>8.471954E7</v>
      </c>
      <c r="D7" s="9">
        <v>1.2947838E7</v>
      </c>
      <c r="E7" s="10" t="str">
        <f>IF(C7&gt;percent,"YES","NO")</f>
        <v>YES</v>
      </c>
      <c r="F7" s="19">
        <v>100000.0</v>
      </c>
      <c r="G7" s="12" t="str">
        <f t="shared" si="2"/>
        <v>FUNDED</v>
      </c>
      <c r="H7" s="20">
        <f t="shared" si="3"/>
        <v>3474000</v>
      </c>
      <c r="I7" s="14" t="str">
        <f t="shared" si="1"/>
        <v/>
      </c>
    </row>
    <row r="8">
      <c r="A8" s="18" t="s">
        <v>123</v>
      </c>
      <c r="B8" s="8">
        <v>120.0</v>
      </c>
      <c r="C8" s="9">
        <v>7.8798954E7</v>
      </c>
      <c r="D8" s="9">
        <v>8025848.0</v>
      </c>
      <c r="E8" s="10" t="str">
        <f>IF(C8&gt;percent,"YES","NO")</f>
        <v>YES</v>
      </c>
      <c r="F8" s="19">
        <v>70000.0</v>
      </c>
      <c r="G8" s="12" t="str">
        <f t="shared" si="2"/>
        <v>FUNDED</v>
      </c>
      <c r="H8" s="20">
        <f t="shared" si="3"/>
        <v>3404000</v>
      </c>
      <c r="I8" s="14" t="str">
        <f t="shared" si="1"/>
        <v/>
      </c>
    </row>
    <row r="9">
      <c r="A9" s="18" t="s">
        <v>124</v>
      </c>
      <c r="B9" s="8">
        <v>165.0</v>
      </c>
      <c r="C9" s="9">
        <v>7.5219759E7</v>
      </c>
      <c r="D9" s="9">
        <v>7060164.0</v>
      </c>
      <c r="E9" s="10" t="str">
        <f>IF(C9&gt;percent,"YES","NO")</f>
        <v>YES</v>
      </c>
      <c r="F9" s="19">
        <v>74000.0</v>
      </c>
      <c r="G9" s="12" t="str">
        <f t="shared" si="2"/>
        <v>FUNDED</v>
      </c>
      <c r="H9" s="20">
        <f t="shared" si="3"/>
        <v>3330000</v>
      </c>
      <c r="I9" s="14" t="str">
        <f t="shared" si="1"/>
        <v/>
      </c>
    </row>
    <row r="10">
      <c r="A10" s="18" t="s">
        <v>125</v>
      </c>
      <c r="B10" s="8">
        <v>310.0</v>
      </c>
      <c r="C10" s="9">
        <v>7.3948242E7</v>
      </c>
      <c r="D10" s="9">
        <v>7737721.0</v>
      </c>
      <c r="E10" s="10" t="str">
        <f>IF(C10&gt;percent,"YES","NO")</f>
        <v>YES</v>
      </c>
      <c r="F10" s="19">
        <v>85000.0</v>
      </c>
      <c r="G10" s="12" t="str">
        <f t="shared" si="2"/>
        <v>FUNDED</v>
      </c>
      <c r="H10" s="20">
        <f t="shared" si="3"/>
        <v>3245000</v>
      </c>
      <c r="I10" s="14" t="str">
        <f t="shared" si="1"/>
        <v/>
      </c>
    </row>
    <row r="11">
      <c r="A11" s="18" t="s">
        <v>126</v>
      </c>
      <c r="B11" s="8">
        <v>196.0</v>
      </c>
      <c r="C11" s="9">
        <v>7.3760449E7</v>
      </c>
      <c r="D11" s="9">
        <v>3.2631761E7</v>
      </c>
      <c r="E11" s="10" t="str">
        <f>IF(C11&gt;percent,"YES","NO")</f>
        <v>YES</v>
      </c>
      <c r="F11" s="19">
        <v>99950.0</v>
      </c>
      <c r="G11" s="12" t="str">
        <f t="shared" si="2"/>
        <v>FUNDED</v>
      </c>
      <c r="H11" s="20">
        <f t="shared" si="3"/>
        <v>3145050</v>
      </c>
      <c r="I11" s="14" t="str">
        <f t="shared" si="1"/>
        <v/>
      </c>
    </row>
    <row r="12">
      <c r="A12" s="18" t="s">
        <v>127</v>
      </c>
      <c r="B12" s="8">
        <v>265.0</v>
      </c>
      <c r="C12" s="9">
        <v>7.0781536E7</v>
      </c>
      <c r="D12" s="9">
        <v>1.4332425E7</v>
      </c>
      <c r="E12" s="10" t="str">
        <f>IF(C12&gt;percent,"YES","NO")</f>
        <v>YES</v>
      </c>
      <c r="F12" s="19">
        <v>100000.0</v>
      </c>
      <c r="G12" s="12" t="str">
        <f t="shared" si="2"/>
        <v>FUNDED</v>
      </c>
      <c r="H12" s="20">
        <f t="shared" si="3"/>
        <v>3045050</v>
      </c>
      <c r="I12" s="14" t="str">
        <f t="shared" si="1"/>
        <v/>
      </c>
    </row>
    <row r="13">
      <c r="A13" s="18" t="s">
        <v>128</v>
      </c>
      <c r="B13" s="8">
        <v>115.0</v>
      </c>
      <c r="C13" s="9">
        <v>6.9705285E7</v>
      </c>
      <c r="D13" s="9">
        <v>2.5685376E7</v>
      </c>
      <c r="E13" s="10" t="str">
        <f>IF(C13&gt;percent,"YES","NO")</f>
        <v>YES</v>
      </c>
      <c r="F13" s="19">
        <v>100000.0</v>
      </c>
      <c r="G13" s="12" t="str">
        <f t="shared" si="2"/>
        <v>FUNDED</v>
      </c>
      <c r="H13" s="20">
        <f t="shared" si="3"/>
        <v>2945050</v>
      </c>
      <c r="I13" s="14" t="str">
        <f t="shared" si="1"/>
        <v/>
      </c>
    </row>
    <row r="14">
      <c r="A14" s="18" t="s">
        <v>129</v>
      </c>
      <c r="B14" s="8">
        <v>188.0</v>
      </c>
      <c r="C14" s="9">
        <v>6.9527528E7</v>
      </c>
      <c r="D14" s="9">
        <v>1.0912148E7</v>
      </c>
      <c r="E14" s="10" t="str">
        <f>IF(C14&gt;percent,"YES","NO")</f>
        <v>YES</v>
      </c>
      <c r="F14" s="19">
        <v>100000.0</v>
      </c>
      <c r="G14" s="12" t="str">
        <f t="shared" si="2"/>
        <v>FUNDED</v>
      </c>
      <c r="H14" s="20">
        <f t="shared" si="3"/>
        <v>2845050</v>
      </c>
      <c r="I14" s="14" t="str">
        <f t="shared" si="1"/>
        <v/>
      </c>
    </row>
    <row r="15">
      <c r="A15" s="18" t="s">
        <v>130</v>
      </c>
      <c r="B15" s="8">
        <v>177.0</v>
      </c>
      <c r="C15" s="9">
        <v>6.8555269E7</v>
      </c>
      <c r="D15" s="9">
        <v>2.7867375E7</v>
      </c>
      <c r="E15" s="10" t="str">
        <f>IF(C15&gt;percent,"YES","NO")</f>
        <v>YES</v>
      </c>
      <c r="F15" s="19">
        <v>100000.0</v>
      </c>
      <c r="G15" s="12" t="str">
        <f t="shared" si="2"/>
        <v>FUNDED</v>
      </c>
      <c r="H15" s="20">
        <f t="shared" si="3"/>
        <v>2745050</v>
      </c>
      <c r="I15" s="14" t="str">
        <f t="shared" si="1"/>
        <v/>
      </c>
    </row>
    <row r="16">
      <c r="A16" s="18" t="s">
        <v>131</v>
      </c>
      <c r="B16" s="8">
        <v>116.0</v>
      </c>
      <c r="C16" s="9">
        <v>6.6707349E7</v>
      </c>
      <c r="D16" s="9">
        <v>1.0841415E7</v>
      </c>
      <c r="E16" s="10" t="str">
        <f>IF(C16&gt;percent,"YES","NO")</f>
        <v>YES</v>
      </c>
      <c r="F16" s="19">
        <v>100000.0</v>
      </c>
      <c r="G16" s="12" t="str">
        <f t="shared" si="2"/>
        <v>FUNDED</v>
      </c>
      <c r="H16" s="20">
        <f t="shared" si="3"/>
        <v>2645050</v>
      </c>
      <c r="I16" s="14" t="str">
        <f t="shared" si="1"/>
        <v/>
      </c>
    </row>
    <row r="17">
      <c r="A17" s="18" t="s">
        <v>132</v>
      </c>
      <c r="B17" s="8">
        <v>117.0</v>
      </c>
      <c r="C17" s="9">
        <v>6.3585743E7</v>
      </c>
      <c r="D17" s="9">
        <v>2.3922305E7</v>
      </c>
      <c r="E17" s="10" t="str">
        <f>IF(C17&gt;percent,"YES","NO")</f>
        <v>YES</v>
      </c>
      <c r="F17" s="19">
        <v>100000.0</v>
      </c>
      <c r="G17" s="12" t="str">
        <f t="shared" si="2"/>
        <v>FUNDED</v>
      </c>
      <c r="H17" s="20">
        <f t="shared" si="3"/>
        <v>2545050</v>
      </c>
      <c r="I17" s="14" t="str">
        <f t="shared" si="1"/>
        <v/>
      </c>
    </row>
    <row r="18">
      <c r="A18" s="18" t="s">
        <v>133</v>
      </c>
      <c r="B18" s="8">
        <v>220.0</v>
      </c>
      <c r="C18" s="9">
        <v>6.1114055E7</v>
      </c>
      <c r="D18" s="9">
        <v>6290071.0</v>
      </c>
      <c r="E18" s="10" t="str">
        <f>IF(C18&gt;percent,"YES","NO")</f>
        <v>YES</v>
      </c>
      <c r="F18" s="19">
        <v>100000.0</v>
      </c>
      <c r="G18" s="12" t="str">
        <f t="shared" si="2"/>
        <v>FUNDED</v>
      </c>
      <c r="H18" s="20">
        <f t="shared" si="3"/>
        <v>2445050</v>
      </c>
      <c r="I18" s="14" t="str">
        <f t="shared" si="1"/>
        <v/>
      </c>
    </row>
    <row r="19">
      <c r="A19" s="18" t="s">
        <v>134</v>
      </c>
      <c r="B19" s="8">
        <v>124.0</v>
      </c>
      <c r="C19" s="9">
        <v>5.9561626E7</v>
      </c>
      <c r="D19" s="9">
        <v>6186084.0</v>
      </c>
      <c r="E19" s="10" t="str">
        <f>IF(C19&gt;percent,"YES","NO")</f>
        <v>YES</v>
      </c>
      <c r="F19" s="19">
        <v>75000.0</v>
      </c>
      <c r="G19" s="12" t="str">
        <f t="shared" si="2"/>
        <v>FUNDED</v>
      </c>
      <c r="H19" s="20">
        <f t="shared" si="3"/>
        <v>2370050</v>
      </c>
      <c r="I19" s="14" t="str">
        <f t="shared" si="1"/>
        <v/>
      </c>
    </row>
    <row r="20">
      <c r="A20" s="18" t="s">
        <v>135</v>
      </c>
      <c r="B20" s="8">
        <v>143.0</v>
      </c>
      <c r="C20" s="9">
        <v>5.8755691E7</v>
      </c>
      <c r="D20" s="9">
        <v>1.0522981E7</v>
      </c>
      <c r="E20" s="10" t="str">
        <f>IF(C20&gt;percent,"YES","NO")</f>
        <v>YES</v>
      </c>
      <c r="F20" s="19">
        <v>100000.0</v>
      </c>
      <c r="G20" s="12" t="str">
        <f t="shared" si="2"/>
        <v>FUNDED</v>
      </c>
      <c r="H20" s="20">
        <f t="shared" si="3"/>
        <v>2270050</v>
      </c>
      <c r="I20" s="14" t="str">
        <f t="shared" si="1"/>
        <v/>
      </c>
    </row>
    <row r="21">
      <c r="A21" s="18" t="s">
        <v>136</v>
      </c>
      <c r="B21" s="8">
        <v>105.0</v>
      </c>
      <c r="C21" s="9">
        <v>5.8705999E7</v>
      </c>
      <c r="D21" s="9">
        <v>8016054.0</v>
      </c>
      <c r="E21" s="10" t="str">
        <f>IF(C21&gt;percent,"YES","NO")</f>
        <v>YES</v>
      </c>
      <c r="F21" s="19">
        <v>85000.0</v>
      </c>
      <c r="G21" s="12" t="str">
        <f t="shared" si="2"/>
        <v>FUNDED</v>
      </c>
      <c r="H21" s="20">
        <f t="shared" si="3"/>
        <v>2185050</v>
      </c>
      <c r="I21" s="14" t="str">
        <f t="shared" si="1"/>
        <v/>
      </c>
    </row>
    <row r="22">
      <c r="A22" s="18" t="s">
        <v>137</v>
      </c>
      <c r="B22" s="8">
        <v>150.0</v>
      </c>
      <c r="C22" s="9">
        <v>5.7187114E7</v>
      </c>
      <c r="D22" s="9">
        <v>6077304.0</v>
      </c>
      <c r="E22" s="10" t="str">
        <f>IF(C22&gt;percent,"YES","NO")</f>
        <v>YES</v>
      </c>
      <c r="F22" s="19">
        <v>92000.0</v>
      </c>
      <c r="G22" s="12" t="str">
        <f t="shared" si="2"/>
        <v>FUNDED</v>
      </c>
      <c r="H22" s="20">
        <f t="shared" si="3"/>
        <v>2093050</v>
      </c>
      <c r="I22" s="14" t="str">
        <f t="shared" si="1"/>
        <v/>
      </c>
    </row>
    <row r="23">
      <c r="A23" s="18" t="s">
        <v>138</v>
      </c>
      <c r="B23" s="8">
        <v>156.0</v>
      </c>
      <c r="C23" s="9">
        <v>5.6241014E7</v>
      </c>
      <c r="D23" s="9">
        <v>2.2316575E7</v>
      </c>
      <c r="E23" s="10" t="str">
        <f>IF(C23&gt;percent,"YES","NO")</f>
        <v>YES</v>
      </c>
      <c r="F23" s="19">
        <v>77760.0</v>
      </c>
      <c r="G23" s="12" t="str">
        <f t="shared" si="2"/>
        <v>FUNDED</v>
      </c>
      <c r="H23" s="20">
        <f t="shared" si="3"/>
        <v>2015290</v>
      </c>
      <c r="I23" s="14" t="str">
        <f t="shared" si="1"/>
        <v/>
      </c>
    </row>
    <row r="24">
      <c r="A24" s="18" t="s">
        <v>139</v>
      </c>
      <c r="B24" s="8">
        <v>89.0</v>
      </c>
      <c r="C24" s="9">
        <v>5.5025755E7</v>
      </c>
      <c r="D24" s="9">
        <v>6909887.0</v>
      </c>
      <c r="E24" s="10" t="str">
        <f>IF(C24&gt;percent,"YES","NO")</f>
        <v>YES</v>
      </c>
      <c r="F24" s="19">
        <v>95000.0</v>
      </c>
      <c r="G24" s="12" t="str">
        <f t="shared" si="2"/>
        <v>FUNDED</v>
      </c>
      <c r="H24" s="20">
        <f t="shared" si="3"/>
        <v>1920290</v>
      </c>
      <c r="I24" s="14" t="str">
        <f t="shared" si="1"/>
        <v/>
      </c>
    </row>
    <row r="25">
      <c r="A25" s="18" t="s">
        <v>140</v>
      </c>
      <c r="B25" s="8">
        <v>138.0</v>
      </c>
      <c r="C25" s="9">
        <v>5.4030563E7</v>
      </c>
      <c r="D25" s="9">
        <v>1.5011758E7</v>
      </c>
      <c r="E25" s="10" t="str">
        <f>IF(C25&gt;percent,"YES","NO")</f>
        <v>YES</v>
      </c>
      <c r="F25" s="19">
        <v>100000.0</v>
      </c>
      <c r="G25" s="12" t="str">
        <f t="shared" si="2"/>
        <v>FUNDED</v>
      </c>
      <c r="H25" s="20">
        <f t="shared" si="3"/>
        <v>1820290</v>
      </c>
      <c r="I25" s="14" t="str">
        <f t="shared" si="1"/>
        <v/>
      </c>
    </row>
    <row r="26">
      <c r="A26" s="21" t="s">
        <v>141</v>
      </c>
      <c r="B26" s="8">
        <v>175.0</v>
      </c>
      <c r="C26" s="9">
        <v>5.3104286E7</v>
      </c>
      <c r="D26" s="9">
        <v>2.8797481E7</v>
      </c>
      <c r="E26" s="10" t="str">
        <f>IF(C26&gt;percent,"YES","NO")</f>
        <v>YES</v>
      </c>
      <c r="F26" s="19">
        <v>94000.0</v>
      </c>
      <c r="G26" s="12" t="str">
        <f t="shared" si="2"/>
        <v>FUNDED</v>
      </c>
      <c r="H26" s="20">
        <f t="shared" si="3"/>
        <v>1726290</v>
      </c>
      <c r="I26" s="14" t="str">
        <f t="shared" si="1"/>
        <v/>
      </c>
    </row>
    <row r="27">
      <c r="A27" s="18" t="s">
        <v>142</v>
      </c>
      <c r="B27" s="8">
        <v>179.0</v>
      </c>
      <c r="C27" s="9">
        <v>5.299179E7</v>
      </c>
      <c r="D27" s="9">
        <v>8024477.0</v>
      </c>
      <c r="E27" s="10" t="str">
        <f>IF(C27&gt;percent,"YES","NO")</f>
        <v>YES</v>
      </c>
      <c r="F27" s="19">
        <v>100000.0</v>
      </c>
      <c r="G27" s="12" t="str">
        <f t="shared" si="2"/>
        <v>FUNDED</v>
      </c>
      <c r="H27" s="20">
        <f t="shared" si="3"/>
        <v>1626290</v>
      </c>
      <c r="I27" s="14" t="str">
        <f t="shared" si="1"/>
        <v/>
      </c>
    </row>
    <row r="28">
      <c r="A28" s="18" t="s">
        <v>143</v>
      </c>
      <c r="B28" s="8">
        <v>202.0</v>
      </c>
      <c r="C28" s="9">
        <v>5.2894718E7</v>
      </c>
      <c r="D28" s="9">
        <v>2.8043104E7</v>
      </c>
      <c r="E28" s="10" t="str">
        <f>IF(C28&gt;percent,"YES","NO")</f>
        <v>YES</v>
      </c>
      <c r="F28" s="19">
        <v>100000.0</v>
      </c>
      <c r="G28" s="12" t="str">
        <f t="shared" si="2"/>
        <v>FUNDED</v>
      </c>
      <c r="H28" s="20">
        <f t="shared" si="3"/>
        <v>1526290</v>
      </c>
      <c r="I28" s="14" t="str">
        <f t="shared" si="1"/>
        <v/>
      </c>
    </row>
    <row r="29">
      <c r="A29" s="18" t="s">
        <v>144</v>
      </c>
      <c r="B29" s="8">
        <v>165.0</v>
      </c>
      <c r="C29" s="9">
        <v>5.1723646E7</v>
      </c>
      <c r="D29" s="9">
        <v>5206664.0</v>
      </c>
      <c r="E29" s="10" t="str">
        <f>IF(C29&gt;percent,"YES","NO")</f>
        <v>YES</v>
      </c>
      <c r="F29" s="19">
        <v>83000.0</v>
      </c>
      <c r="G29" s="12" t="str">
        <f t="shared" si="2"/>
        <v>FUNDED</v>
      </c>
      <c r="H29" s="20">
        <f t="shared" si="3"/>
        <v>1443290</v>
      </c>
      <c r="I29" s="14" t="str">
        <f t="shared" si="1"/>
        <v/>
      </c>
    </row>
    <row r="30">
      <c r="A30" s="18" t="s">
        <v>145</v>
      </c>
      <c r="B30" s="8">
        <v>132.0</v>
      </c>
      <c r="C30" s="9">
        <v>5.1155498E7</v>
      </c>
      <c r="D30" s="9">
        <v>2.685543E7</v>
      </c>
      <c r="E30" s="10" t="str">
        <f>IF(C30&gt;percent,"YES","NO")</f>
        <v>YES</v>
      </c>
      <c r="F30" s="19">
        <v>100000.0</v>
      </c>
      <c r="G30" s="12" t="str">
        <f t="shared" si="2"/>
        <v>FUNDED</v>
      </c>
      <c r="H30" s="20">
        <f t="shared" si="3"/>
        <v>1343290</v>
      </c>
      <c r="I30" s="14" t="str">
        <f t="shared" si="1"/>
        <v/>
      </c>
    </row>
    <row r="31">
      <c r="A31" s="18" t="s">
        <v>146</v>
      </c>
      <c r="B31" s="8">
        <v>98.0</v>
      </c>
      <c r="C31" s="9">
        <v>5.0675762E7</v>
      </c>
      <c r="D31" s="9">
        <v>8783501.0</v>
      </c>
      <c r="E31" s="10" t="str">
        <f>IF(C31&gt;percent,"YES","NO")</f>
        <v>YES</v>
      </c>
      <c r="F31" s="19">
        <v>74526.0</v>
      </c>
      <c r="G31" s="12" t="str">
        <f t="shared" si="2"/>
        <v>FUNDED</v>
      </c>
      <c r="H31" s="20">
        <f t="shared" si="3"/>
        <v>1268764</v>
      </c>
      <c r="I31" s="14" t="str">
        <f t="shared" si="1"/>
        <v/>
      </c>
    </row>
    <row r="32">
      <c r="A32" s="18" t="s">
        <v>147</v>
      </c>
      <c r="B32" s="8">
        <v>177.0</v>
      </c>
      <c r="C32" s="9">
        <v>4.9800021E7</v>
      </c>
      <c r="D32" s="9">
        <v>2.3811661E7</v>
      </c>
      <c r="E32" s="10" t="str">
        <f>IF(C32&gt;percent,"YES","NO")</f>
        <v>YES</v>
      </c>
      <c r="F32" s="19">
        <v>100000.0</v>
      </c>
      <c r="G32" s="12" t="str">
        <f t="shared" si="2"/>
        <v>FUNDED</v>
      </c>
      <c r="H32" s="20">
        <f t="shared" si="3"/>
        <v>1168764</v>
      </c>
      <c r="I32" s="14" t="str">
        <f t="shared" si="1"/>
        <v/>
      </c>
    </row>
    <row r="33">
      <c r="A33" s="18" t="s">
        <v>148</v>
      </c>
      <c r="B33" s="8">
        <v>207.0</v>
      </c>
      <c r="C33" s="9">
        <v>4.8315817E7</v>
      </c>
      <c r="D33" s="9">
        <v>9357178.0</v>
      </c>
      <c r="E33" s="10" t="str">
        <f>IF(C33&gt;percent,"YES","NO")</f>
        <v>YES</v>
      </c>
      <c r="F33" s="19">
        <v>100000.0</v>
      </c>
      <c r="G33" s="12" t="str">
        <f t="shared" si="2"/>
        <v>FUNDED</v>
      </c>
      <c r="H33" s="20">
        <f t="shared" si="3"/>
        <v>1068764</v>
      </c>
      <c r="I33" s="14" t="str">
        <f t="shared" si="1"/>
        <v/>
      </c>
    </row>
    <row r="34">
      <c r="A34" s="18" t="s">
        <v>149</v>
      </c>
      <c r="B34" s="8">
        <v>142.0</v>
      </c>
      <c r="C34" s="9">
        <v>4.6630408E7</v>
      </c>
      <c r="D34" s="9">
        <v>7813414.0</v>
      </c>
      <c r="E34" s="10" t="str">
        <f>IF(C34&gt;percent,"YES","NO")</f>
        <v>YES</v>
      </c>
      <c r="F34" s="19">
        <v>60000.0</v>
      </c>
      <c r="G34" s="12" t="str">
        <f t="shared" si="2"/>
        <v>FUNDED</v>
      </c>
      <c r="H34" s="20">
        <f t="shared" si="3"/>
        <v>1008764</v>
      </c>
      <c r="I34" s="14" t="str">
        <f t="shared" si="1"/>
        <v/>
      </c>
    </row>
    <row r="35">
      <c r="A35" s="18" t="s">
        <v>150</v>
      </c>
      <c r="B35" s="8">
        <v>106.0</v>
      </c>
      <c r="C35" s="9">
        <v>4.6578859E7</v>
      </c>
      <c r="D35" s="9">
        <v>5555178.0</v>
      </c>
      <c r="E35" s="10" t="str">
        <f>IF(C35&gt;percent,"YES","NO")</f>
        <v>YES</v>
      </c>
      <c r="F35" s="19">
        <v>90000.0</v>
      </c>
      <c r="G35" s="12" t="str">
        <f t="shared" si="2"/>
        <v>FUNDED</v>
      </c>
      <c r="H35" s="20">
        <f t="shared" si="3"/>
        <v>918764</v>
      </c>
      <c r="I35" s="14" t="str">
        <f t="shared" si="1"/>
        <v/>
      </c>
    </row>
    <row r="36">
      <c r="A36" s="18" t="s">
        <v>151</v>
      </c>
      <c r="B36" s="8">
        <v>109.0</v>
      </c>
      <c r="C36" s="9">
        <v>4.6458314E7</v>
      </c>
      <c r="D36" s="9">
        <v>1.2891075E7</v>
      </c>
      <c r="E36" s="10" t="str">
        <f>IF(C36&gt;percent,"YES","NO")</f>
        <v>YES</v>
      </c>
      <c r="F36" s="19">
        <v>100000.0</v>
      </c>
      <c r="G36" s="12" t="str">
        <f t="shared" si="2"/>
        <v>FUNDED</v>
      </c>
      <c r="H36" s="20">
        <f t="shared" si="3"/>
        <v>818764</v>
      </c>
      <c r="I36" s="14" t="str">
        <f t="shared" si="1"/>
        <v/>
      </c>
    </row>
    <row r="37">
      <c r="A37" s="18" t="s">
        <v>152</v>
      </c>
      <c r="B37" s="8">
        <v>128.0</v>
      </c>
      <c r="C37" s="9">
        <v>4.6254656E7</v>
      </c>
      <c r="D37" s="9">
        <v>2.3741035E7</v>
      </c>
      <c r="E37" s="10" t="str">
        <f>IF(C37&gt;percent,"YES","NO")</f>
        <v>YES</v>
      </c>
      <c r="F37" s="19">
        <v>65000.0</v>
      </c>
      <c r="G37" s="12" t="str">
        <f t="shared" si="2"/>
        <v>FUNDED</v>
      </c>
      <c r="H37" s="20">
        <f t="shared" si="3"/>
        <v>753764</v>
      </c>
      <c r="I37" s="14" t="str">
        <f t="shared" si="1"/>
        <v/>
      </c>
    </row>
    <row r="38">
      <c r="A38" s="18" t="s">
        <v>153</v>
      </c>
      <c r="B38" s="8">
        <v>146.0</v>
      </c>
      <c r="C38" s="9">
        <v>4.5947691E7</v>
      </c>
      <c r="D38" s="9">
        <v>2.7033062E7</v>
      </c>
      <c r="E38" s="10" t="str">
        <f>IF(C38&gt;percent,"YES","NO")</f>
        <v>YES</v>
      </c>
      <c r="F38" s="19">
        <v>100000.0</v>
      </c>
      <c r="G38" s="12" t="str">
        <f t="shared" si="2"/>
        <v>FUNDED</v>
      </c>
      <c r="H38" s="20">
        <f t="shared" si="3"/>
        <v>653764</v>
      </c>
      <c r="I38" s="14" t="str">
        <f t="shared" si="1"/>
        <v/>
      </c>
    </row>
    <row r="39">
      <c r="A39" s="18" t="s">
        <v>154</v>
      </c>
      <c r="B39" s="8">
        <v>140.0</v>
      </c>
      <c r="C39" s="9">
        <v>4.5559194E7</v>
      </c>
      <c r="D39" s="9">
        <v>5890277.0</v>
      </c>
      <c r="E39" s="10" t="str">
        <f>IF(C39&gt;percent,"YES","NO")</f>
        <v>YES</v>
      </c>
      <c r="F39" s="19">
        <v>75000.0</v>
      </c>
      <c r="G39" s="12" t="str">
        <f t="shared" si="2"/>
        <v>FUNDED</v>
      </c>
      <c r="H39" s="20">
        <f t="shared" si="3"/>
        <v>578764</v>
      </c>
      <c r="I39" s="14" t="str">
        <f t="shared" si="1"/>
        <v/>
      </c>
    </row>
    <row r="40">
      <c r="A40" s="18" t="s">
        <v>155</v>
      </c>
      <c r="B40" s="8">
        <v>90.0</v>
      </c>
      <c r="C40" s="9">
        <v>4.487451E7</v>
      </c>
      <c r="D40" s="9">
        <v>7381320.0</v>
      </c>
      <c r="E40" s="10" t="str">
        <f>IF(C40&gt;percent,"YES","NO")</f>
        <v>YES</v>
      </c>
      <c r="F40" s="19">
        <v>65000.0</v>
      </c>
      <c r="G40" s="12" t="str">
        <f t="shared" si="2"/>
        <v>FUNDED</v>
      </c>
      <c r="H40" s="20">
        <f t="shared" si="3"/>
        <v>513764</v>
      </c>
      <c r="I40" s="14" t="str">
        <f t="shared" si="1"/>
        <v/>
      </c>
    </row>
    <row r="41">
      <c r="A41" s="18" t="s">
        <v>156</v>
      </c>
      <c r="B41" s="8">
        <v>108.0</v>
      </c>
      <c r="C41" s="9">
        <v>4.4370452E7</v>
      </c>
      <c r="D41" s="9">
        <v>7034681.0</v>
      </c>
      <c r="E41" s="10" t="str">
        <f>IF(C41&gt;percent,"YES","NO")</f>
        <v>NO</v>
      </c>
      <c r="F41" s="19">
        <v>68430.0</v>
      </c>
      <c r="G41" s="12" t="str">
        <f t="shared" si="2"/>
        <v>NOT FUNDED</v>
      </c>
      <c r="H41" s="20">
        <f t="shared" si="3"/>
        <v>513764</v>
      </c>
      <c r="I41" s="14" t="str">
        <f t="shared" si="1"/>
        <v>Approval Threshold</v>
      </c>
    </row>
    <row r="42">
      <c r="A42" s="18" t="s">
        <v>157</v>
      </c>
      <c r="B42" s="8">
        <v>122.0</v>
      </c>
      <c r="C42" s="9">
        <v>4.4320704E7</v>
      </c>
      <c r="D42" s="9">
        <v>9001118.0</v>
      </c>
      <c r="E42" s="10" t="str">
        <f>IF(C42&gt;percent,"YES","NO")</f>
        <v>NO</v>
      </c>
      <c r="F42" s="19">
        <v>80000.0</v>
      </c>
      <c r="G42" s="12" t="str">
        <f t="shared" si="2"/>
        <v>NOT FUNDED</v>
      </c>
      <c r="H42" s="20">
        <f t="shared" si="3"/>
        <v>513764</v>
      </c>
      <c r="I42" s="14" t="str">
        <f t="shared" si="1"/>
        <v>Approval Threshold</v>
      </c>
    </row>
    <row r="43">
      <c r="A43" s="18" t="s">
        <v>158</v>
      </c>
      <c r="B43" s="8">
        <v>85.0</v>
      </c>
      <c r="C43" s="9">
        <v>4.4213505E7</v>
      </c>
      <c r="D43" s="9">
        <v>1.0118795E7</v>
      </c>
      <c r="E43" s="10" t="str">
        <f>IF(C43&gt;percent,"YES","NO")</f>
        <v>NO</v>
      </c>
      <c r="F43" s="19">
        <v>100000.0</v>
      </c>
      <c r="G43" s="12" t="str">
        <f t="shared" si="2"/>
        <v>NOT FUNDED</v>
      </c>
      <c r="H43" s="20">
        <f t="shared" si="3"/>
        <v>513764</v>
      </c>
      <c r="I43" s="14" t="str">
        <f t="shared" si="1"/>
        <v>Approval Threshold</v>
      </c>
    </row>
    <row r="44">
      <c r="A44" s="18" t="s">
        <v>159</v>
      </c>
      <c r="B44" s="8">
        <v>97.0</v>
      </c>
      <c r="C44" s="9">
        <v>4.3934413E7</v>
      </c>
      <c r="D44" s="9">
        <v>2.2203302E7</v>
      </c>
      <c r="E44" s="10" t="str">
        <f>IF(C44&gt;percent,"YES","NO")</f>
        <v>NO</v>
      </c>
      <c r="F44" s="19">
        <v>90000.0</v>
      </c>
      <c r="G44" s="12" t="str">
        <f t="shared" si="2"/>
        <v>NOT FUNDED</v>
      </c>
      <c r="H44" s="20">
        <f t="shared" si="3"/>
        <v>513764</v>
      </c>
      <c r="I44" s="14" t="str">
        <f t="shared" si="1"/>
        <v>Approval Threshold</v>
      </c>
    </row>
    <row r="45">
      <c r="A45" s="18" t="s">
        <v>160</v>
      </c>
      <c r="B45" s="22">
        <v>103.0</v>
      </c>
      <c r="C45" s="9">
        <v>4.3892793E7</v>
      </c>
      <c r="D45" s="9">
        <v>9192882.0</v>
      </c>
      <c r="E45" s="10" t="str">
        <f>IF(C45&gt;percent,"YES","NO")</f>
        <v>NO</v>
      </c>
      <c r="F45" s="19">
        <v>80000.0</v>
      </c>
      <c r="G45" s="12" t="str">
        <f t="shared" si="2"/>
        <v>NOT FUNDED</v>
      </c>
      <c r="H45" s="20">
        <f t="shared" si="3"/>
        <v>513764</v>
      </c>
      <c r="I45" s="14" t="str">
        <f t="shared" si="1"/>
        <v>Approval Threshold</v>
      </c>
    </row>
    <row r="46">
      <c r="A46" s="18" t="s">
        <v>161</v>
      </c>
      <c r="B46" s="22">
        <v>116.0</v>
      </c>
      <c r="C46" s="9">
        <v>4.3358234E7</v>
      </c>
      <c r="D46" s="9">
        <v>1.0773958E7</v>
      </c>
      <c r="E46" s="10" t="str">
        <f>IF(C46&gt;percent,"YES","NO")</f>
        <v>NO</v>
      </c>
      <c r="F46" s="19">
        <v>70370.0</v>
      </c>
      <c r="G46" s="12" t="str">
        <f t="shared" si="2"/>
        <v>NOT FUNDED</v>
      </c>
      <c r="H46" s="20">
        <f t="shared" si="3"/>
        <v>513764</v>
      </c>
      <c r="I46" s="14" t="str">
        <f t="shared" si="1"/>
        <v>Approval Threshold</v>
      </c>
    </row>
    <row r="47">
      <c r="A47" s="18" t="s">
        <v>162</v>
      </c>
      <c r="B47" s="22">
        <v>186.0</v>
      </c>
      <c r="C47" s="9">
        <v>4.327964E7</v>
      </c>
      <c r="D47" s="9">
        <v>9011453.0</v>
      </c>
      <c r="E47" s="10" t="str">
        <f>IF(C47&gt;percent,"YES","NO")</f>
        <v>NO</v>
      </c>
      <c r="F47" s="19">
        <v>100000.0</v>
      </c>
      <c r="G47" s="12" t="str">
        <f t="shared" si="2"/>
        <v>NOT FUNDED</v>
      </c>
      <c r="H47" s="20">
        <f t="shared" si="3"/>
        <v>513764</v>
      </c>
      <c r="I47" s="14" t="str">
        <f t="shared" si="1"/>
        <v>Approval Threshold</v>
      </c>
    </row>
    <row r="48">
      <c r="A48" s="18" t="s">
        <v>163</v>
      </c>
      <c r="B48" s="22">
        <v>113.0</v>
      </c>
      <c r="C48" s="9">
        <v>4.2998701E7</v>
      </c>
      <c r="D48" s="9">
        <v>6482461.0</v>
      </c>
      <c r="E48" s="10" t="str">
        <f>IF(C48&gt;percent,"YES","NO")</f>
        <v>NO</v>
      </c>
      <c r="F48" s="19">
        <v>57650.0</v>
      </c>
      <c r="G48" s="12" t="str">
        <f t="shared" si="2"/>
        <v>NOT FUNDED</v>
      </c>
      <c r="H48" s="20">
        <f t="shared" si="3"/>
        <v>513764</v>
      </c>
      <c r="I48" s="14" t="str">
        <f t="shared" si="1"/>
        <v>Approval Threshold</v>
      </c>
    </row>
    <row r="49">
      <c r="A49" s="18" t="s">
        <v>164</v>
      </c>
      <c r="B49" s="22">
        <v>108.0</v>
      </c>
      <c r="C49" s="9">
        <v>4.2573111E7</v>
      </c>
      <c r="D49" s="9">
        <v>8102346.0</v>
      </c>
      <c r="E49" s="10" t="str">
        <f>IF(C49&gt;percent,"YES","NO")</f>
        <v>NO</v>
      </c>
      <c r="F49" s="19">
        <v>77000.0</v>
      </c>
      <c r="G49" s="12" t="str">
        <f t="shared" si="2"/>
        <v>NOT FUNDED</v>
      </c>
      <c r="H49" s="20">
        <f t="shared" si="3"/>
        <v>513764</v>
      </c>
      <c r="I49" s="14" t="str">
        <f t="shared" si="1"/>
        <v>Approval Threshold</v>
      </c>
    </row>
    <row r="50">
      <c r="A50" s="18" t="s">
        <v>165</v>
      </c>
      <c r="B50" s="22">
        <v>232.0</v>
      </c>
      <c r="C50" s="9">
        <v>4.2368762E7</v>
      </c>
      <c r="D50" s="9">
        <v>3.3088472E7</v>
      </c>
      <c r="E50" s="10" t="str">
        <f>IF(C50&gt;percent,"YES","NO")</f>
        <v>NO</v>
      </c>
      <c r="F50" s="19">
        <v>99144.0</v>
      </c>
      <c r="G50" s="12" t="str">
        <f t="shared" si="2"/>
        <v>NOT FUNDED</v>
      </c>
      <c r="H50" s="20">
        <f t="shared" si="3"/>
        <v>513764</v>
      </c>
      <c r="I50" s="14" t="str">
        <f t="shared" si="1"/>
        <v>Approval Threshold</v>
      </c>
    </row>
    <row r="51">
      <c r="A51" s="18" t="s">
        <v>166</v>
      </c>
      <c r="B51" s="22">
        <v>105.0</v>
      </c>
      <c r="C51" s="9">
        <v>4.1431852E7</v>
      </c>
      <c r="D51" s="9">
        <v>2.3164759E7</v>
      </c>
      <c r="E51" s="10" t="str">
        <f>IF(C51&gt;percent,"YES","NO")</f>
        <v>NO</v>
      </c>
      <c r="F51" s="19">
        <v>80230.0</v>
      </c>
      <c r="G51" s="12" t="str">
        <f t="shared" si="2"/>
        <v>NOT FUNDED</v>
      </c>
      <c r="H51" s="20">
        <f t="shared" si="3"/>
        <v>513764</v>
      </c>
      <c r="I51" s="14" t="str">
        <f t="shared" si="1"/>
        <v>Approval Threshold</v>
      </c>
    </row>
    <row r="52">
      <c r="A52" s="18" t="s">
        <v>167</v>
      </c>
      <c r="B52" s="22">
        <v>140.0</v>
      </c>
      <c r="C52" s="9">
        <v>4.0951069E7</v>
      </c>
      <c r="D52" s="9">
        <v>1.3007022E7</v>
      </c>
      <c r="E52" s="10" t="str">
        <f>IF(C52&gt;percent,"YES","NO")</f>
        <v>NO</v>
      </c>
      <c r="F52" s="19">
        <v>100000.0</v>
      </c>
      <c r="G52" s="12" t="str">
        <f t="shared" si="2"/>
        <v>NOT FUNDED</v>
      </c>
      <c r="H52" s="20">
        <f t="shared" si="3"/>
        <v>513764</v>
      </c>
      <c r="I52" s="14" t="str">
        <f t="shared" si="1"/>
        <v>Approval Threshold</v>
      </c>
    </row>
    <row r="53">
      <c r="A53" s="18" t="s">
        <v>168</v>
      </c>
      <c r="B53" s="22">
        <v>118.0</v>
      </c>
      <c r="C53" s="9">
        <v>4.0141523E7</v>
      </c>
      <c r="D53" s="9">
        <v>8566886.0</v>
      </c>
      <c r="E53" s="10" t="str">
        <f>IF(C53&gt;percent,"YES","NO")</f>
        <v>NO</v>
      </c>
      <c r="F53" s="19">
        <v>69500.0</v>
      </c>
      <c r="G53" s="12" t="str">
        <f t="shared" si="2"/>
        <v>NOT FUNDED</v>
      </c>
      <c r="H53" s="20">
        <f t="shared" si="3"/>
        <v>513764</v>
      </c>
      <c r="I53" s="14" t="str">
        <f t="shared" si="1"/>
        <v>Approval Threshold</v>
      </c>
    </row>
    <row r="54">
      <c r="A54" s="18" t="s">
        <v>169</v>
      </c>
      <c r="B54" s="22">
        <v>103.0</v>
      </c>
      <c r="C54" s="9">
        <v>3.9818369E7</v>
      </c>
      <c r="D54" s="9">
        <v>2.7404334E7</v>
      </c>
      <c r="E54" s="10" t="str">
        <f>IF(C54&gt;percent,"YES","NO")</f>
        <v>NO</v>
      </c>
      <c r="F54" s="19">
        <v>100000.0</v>
      </c>
      <c r="G54" s="12" t="str">
        <f t="shared" si="2"/>
        <v>NOT FUNDED</v>
      </c>
      <c r="H54" s="20">
        <f t="shared" si="3"/>
        <v>513764</v>
      </c>
      <c r="I54" s="14" t="str">
        <f t="shared" si="1"/>
        <v>Approval Threshold</v>
      </c>
    </row>
    <row r="55">
      <c r="A55" s="18" t="s">
        <v>170</v>
      </c>
      <c r="B55" s="22">
        <v>177.0</v>
      </c>
      <c r="C55" s="9">
        <v>3.9288789E7</v>
      </c>
      <c r="D55" s="9">
        <v>2.6348286E7</v>
      </c>
      <c r="E55" s="10" t="str">
        <f>IF(C55&gt;percent,"YES","NO")</f>
        <v>NO</v>
      </c>
      <c r="F55" s="19">
        <v>100000.0</v>
      </c>
      <c r="G55" s="12" t="str">
        <f t="shared" si="2"/>
        <v>NOT FUNDED</v>
      </c>
      <c r="H55" s="20">
        <f t="shared" si="3"/>
        <v>513764</v>
      </c>
      <c r="I55" s="14" t="str">
        <f t="shared" si="1"/>
        <v>Approval Threshold</v>
      </c>
    </row>
    <row r="56">
      <c r="A56" s="18" t="s">
        <v>171</v>
      </c>
      <c r="B56" s="22">
        <v>143.0</v>
      </c>
      <c r="C56" s="9">
        <v>3.893095E7</v>
      </c>
      <c r="D56" s="9">
        <v>8301394.0</v>
      </c>
      <c r="E56" s="10" t="str">
        <f>IF(C56&gt;percent,"YES","NO")</f>
        <v>NO</v>
      </c>
      <c r="F56" s="19">
        <v>95000.0</v>
      </c>
      <c r="G56" s="12" t="str">
        <f t="shared" si="2"/>
        <v>NOT FUNDED</v>
      </c>
      <c r="H56" s="20">
        <f t="shared" si="3"/>
        <v>513764</v>
      </c>
      <c r="I56" s="14" t="str">
        <f t="shared" si="1"/>
        <v>Approval Threshold</v>
      </c>
    </row>
    <row r="57">
      <c r="A57" s="18" t="s">
        <v>172</v>
      </c>
      <c r="B57" s="22">
        <v>146.0</v>
      </c>
      <c r="C57" s="9">
        <v>3.5677617E7</v>
      </c>
      <c r="D57" s="9">
        <v>5468637.0</v>
      </c>
      <c r="E57" s="10" t="str">
        <f>IF(C57&gt;percent,"YES","NO")</f>
        <v>NO</v>
      </c>
      <c r="F57" s="19">
        <v>95000.0</v>
      </c>
      <c r="G57" s="12" t="str">
        <f t="shared" si="2"/>
        <v>NOT FUNDED</v>
      </c>
      <c r="H57" s="20">
        <f t="shared" si="3"/>
        <v>513764</v>
      </c>
      <c r="I57" s="14" t="str">
        <f t="shared" si="1"/>
        <v>Approval Threshold</v>
      </c>
    </row>
    <row r="58">
      <c r="A58" s="18" t="s">
        <v>173</v>
      </c>
      <c r="B58" s="22">
        <v>180.0</v>
      </c>
      <c r="C58" s="9">
        <v>3.564568E7</v>
      </c>
      <c r="D58" s="9">
        <v>2.403665E7</v>
      </c>
      <c r="E58" s="10" t="str">
        <f>IF(C58&gt;percent,"YES","NO")</f>
        <v>NO</v>
      </c>
      <c r="F58" s="19">
        <v>100000.0</v>
      </c>
      <c r="G58" s="12" t="str">
        <f t="shared" si="2"/>
        <v>NOT FUNDED</v>
      </c>
      <c r="H58" s="20">
        <f t="shared" si="3"/>
        <v>513764</v>
      </c>
      <c r="I58" s="14" t="str">
        <f t="shared" si="1"/>
        <v>Approval Threshold</v>
      </c>
    </row>
    <row r="59">
      <c r="A59" s="18" t="s">
        <v>174</v>
      </c>
      <c r="B59" s="22">
        <v>193.0</v>
      </c>
      <c r="C59" s="9">
        <v>3.5098036E7</v>
      </c>
      <c r="D59" s="9">
        <v>9362564.0</v>
      </c>
      <c r="E59" s="10" t="str">
        <f>IF(C59&gt;percent,"YES","NO")</f>
        <v>NO</v>
      </c>
      <c r="F59" s="19">
        <v>100000.0</v>
      </c>
      <c r="G59" s="12" t="str">
        <f t="shared" si="2"/>
        <v>NOT FUNDED</v>
      </c>
      <c r="H59" s="20">
        <f t="shared" si="3"/>
        <v>513764</v>
      </c>
      <c r="I59" s="14" t="str">
        <f t="shared" si="1"/>
        <v>Approval Threshold</v>
      </c>
    </row>
    <row r="60">
      <c r="A60" s="18" t="s">
        <v>175</v>
      </c>
      <c r="B60" s="22">
        <v>170.0</v>
      </c>
      <c r="C60" s="9">
        <v>3.4559361E7</v>
      </c>
      <c r="D60" s="9">
        <v>1.0641897E7</v>
      </c>
      <c r="E60" s="10" t="str">
        <f>IF(C60&gt;percent,"YES","NO")</f>
        <v>NO</v>
      </c>
      <c r="F60" s="19">
        <v>100000.0</v>
      </c>
      <c r="G60" s="12" t="str">
        <f t="shared" si="2"/>
        <v>NOT FUNDED</v>
      </c>
      <c r="H60" s="20">
        <f t="shared" si="3"/>
        <v>513764</v>
      </c>
      <c r="I60" s="14" t="str">
        <f t="shared" si="1"/>
        <v>Approval Threshold</v>
      </c>
    </row>
    <row r="61">
      <c r="A61" s="18" t="s">
        <v>176</v>
      </c>
      <c r="B61" s="22">
        <v>162.0</v>
      </c>
      <c r="C61" s="9">
        <v>3.4341245E7</v>
      </c>
      <c r="D61" s="9">
        <v>1.061374E7</v>
      </c>
      <c r="E61" s="10" t="str">
        <f>IF(C61&gt;percent,"YES","NO")</f>
        <v>NO</v>
      </c>
      <c r="F61" s="19">
        <v>100000.0</v>
      </c>
      <c r="G61" s="12" t="str">
        <f t="shared" si="2"/>
        <v>NOT FUNDED</v>
      </c>
      <c r="H61" s="20">
        <f t="shared" si="3"/>
        <v>513764</v>
      </c>
      <c r="I61" s="14" t="str">
        <f t="shared" si="1"/>
        <v>Approval Threshold</v>
      </c>
    </row>
    <row r="62">
      <c r="A62" s="18" t="s">
        <v>177</v>
      </c>
      <c r="B62" s="22">
        <v>203.0</v>
      </c>
      <c r="C62" s="9">
        <v>3.4008103E7</v>
      </c>
      <c r="D62" s="9">
        <v>6742435.0</v>
      </c>
      <c r="E62" s="10" t="str">
        <f>IF(C62&gt;percent,"YES","NO")</f>
        <v>NO</v>
      </c>
      <c r="F62" s="19">
        <v>95000.0</v>
      </c>
      <c r="G62" s="12" t="str">
        <f t="shared" si="2"/>
        <v>NOT FUNDED</v>
      </c>
      <c r="H62" s="20">
        <f t="shared" si="3"/>
        <v>513764</v>
      </c>
      <c r="I62" s="14" t="str">
        <f t="shared" si="1"/>
        <v>Approval Threshold</v>
      </c>
    </row>
    <row r="63">
      <c r="A63" s="18" t="s">
        <v>178</v>
      </c>
      <c r="B63" s="22">
        <v>141.0</v>
      </c>
      <c r="C63" s="9">
        <v>3.3734207E7</v>
      </c>
      <c r="D63" s="9">
        <v>5048071.0</v>
      </c>
      <c r="E63" s="10" t="str">
        <f>IF(C63&gt;percent,"YES","NO")</f>
        <v>NO</v>
      </c>
      <c r="F63" s="19">
        <v>50000.0</v>
      </c>
      <c r="G63" s="12" t="str">
        <f t="shared" si="2"/>
        <v>NOT FUNDED</v>
      </c>
      <c r="H63" s="20">
        <f t="shared" si="3"/>
        <v>513764</v>
      </c>
      <c r="I63" s="14" t="str">
        <f t="shared" si="1"/>
        <v>Approval Threshold</v>
      </c>
    </row>
    <row r="64">
      <c r="A64" s="18" t="s">
        <v>179</v>
      </c>
      <c r="B64" s="22">
        <v>114.0</v>
      </c>
      <c r="C64" s="9">
        <v>3.3394696E7</v>
      </c>
      <c r="D64" s="9">
        <v>4847102.0</v>
      </c>
      <c r="E64" s="10" t="str">
        <f>IF(C64&gt;percent,"YES","NO")</f>
        <v>NO</v>
      </c>
      <c r="F64" s="19">
        <v>75000.0</v>
      </c>
      <c r="G64" s="12" t="str">
        <f t="shared" si="2"/>
        <v>NOT FUNDED</v>
      </c>
      <c r="H64" s="20">
        <f t="shared" si="3"/>
        <v>513764</v>
      </c>
      <c r="I64" s="14" t="str">
        <f t="shared" si="1"/>
        <v>Approval Threshold</v>
      </c>
    </row>
    <row r="65">
      <c r="A65" s="18" t="s">
        <v>180</v>
      </c>
      <c r="B65" s="22">
        <v>214.0</v>
      </c>
      <c r="C65" s="9">
        <v>3.3254998E7</v>
      </c>
      <c r="D65" s="9">
        <v>8043339.0</v>
      </c>
      <c r="E65" s="10" t="str">
        <f>IF(C65&gt;percent,"YES","NO")</f>
        <v>NO</v>
      </c>
      <c r="F65" s="19">
        <v>90000.0</v>
      </c>
      <c r="G65" s="12" t="str">
        <f t="shared" si="2"/>
        <v>NOT FUNDED</v>
      </c>
      <c r="H65" s="20">
        <f t="shared" si="3"/>
        <v>513764</v>
      </c>
      <c r="I65" s="14" t="str">
        <f t="shared" si="1"/>
        <v>Approval Threshold</v>
      </c>
    </row>
    <row r="66">
      <c r="A66" s="18" t="s">
        <v>181</v>
      </c>
      <c r="B66" s="22">
        <v>224.0</v>
      </c>
      <c r="C66" s="9">
        <v>3.2832903E7</v>
      </c>
      <c r="D66" s="9">
        <v>3.4329436E7</v>
      </c>
      <c r="E66" s="10" t="str">
        <f>IF(C66&gt;percent,"YES","NO")</f>
        <v>NO</v>
      </c>
      <c r="F66" s="19">
        <v>100000.0</v>
      </c>
      <c r="G66" s="12" t="str">
        <f t="shared" si="2"/>
        <v>NOT FUNDED</v>
      </c>
      <c r="H66" s="20">
        <f t="shared" si="3"/>
        <v>513764</v>
      </c>
      <c r="I66" s="14" t="str">
        <f t="shared" si="1"/>
        <v>Approval Threshold</v>
      </c>
    </row>
    <row r="67">
      <c r="A67" s="18" t="s">
        <v>182</v>
      </c>
      <c r="B67" s="22">
        <v>133.0</v>
      </c>
      <c r="C67" s="9">
        <v>3.2111918E7</v>
      </c>
      <c r="D67" s="9">
        <v>1.3297234E7</v>
      </c>
      <c r="E67" s="10" t="str">
        <f>IF(C67&gt;percent,"YES","NO")</f>
        <v>NO</v>
      </c>
      <c r="F67" s="19">
        <v>100000.0</v>
      </c>
      <c r="G67" s="12" t="str">
        <f t="shared" si="2"/>
        <v>NOT FUNDED</v>
      </c>
      <c r="H67" s="20">
        <f t="shared" si="3"/>
        <v>513764</v>
      </c>
      <c r="I67" s="14" t="str">
        <f t="shared" si="1"/>
        <v>Approval Threshold</v>
      </c>
    </row>
    <row r="68">
      <c r="A68" s="18" t="s">
        <v>183</v>
      </c>
      <c r="B68" s="22">
        <v>113.0</v>
      </c>
      <c r="C68" s="9">
        <v>3.1411073E7</v>
      </c>
      <c r="D68" s="9">
        <v>7436347.0</v>
      </c>
      <c r="E68" s="10" t="str">
        <f>IF(C68&gt;percent,"YES","NO")</f>
        <v>NO</v>
      </c>
      <c r="F68" s="19">
        <v>75000.0</v>
      </c>
      <c r="G68" s="12" t="str">
        <f t="shared" si="2"/>
        <v>NOT FUNDED</v>
      </c>
      <c r="H68" s="20">
        <f t="shared" si="3"/>
        <v>513764</v>
      </c>
      <c r="I68" s="14" t="str">
        <f t="shared" si="1"/>
        <v>Approval Threshold</v>
      </c>
    </row>
    <row r="69">
      <c r="A69" s="18" t="s">
        <v>184</v>
      </c>
      <c r="B69" s="22">
        <v>106.0</v>
      </c>
      <c r="C69" s="9">
        <v>3.1377095E7</v>
      </c>
      <c r="D69" s="9">
        <v>5547223.0</v>
      </c>
      <c r="E69" s="10" t="str">
        <f>IF(C69&gt;percent,"YES","NO")</f>
        <v>NO</v>
      </c>
      <c r="F69" s="19">
        <v>18000.0</v>
      </c>
      <c r="G69" s="12" t="str">
        <f t="shared" si="2"/>
        <v>NOT FUNDED</v>
      </c>
      <c r="H69" s="20">
        <f t="shared" si="3"/>
        <v>513764</v>
      </c>
      <c r="I69" s="14" t="str">
        <f t="shared" si="1"/>
        <v>Approval Threshold</v>
      </c>
    </row>
    <row r="70">
      <c r="A70" s="18" t="s">
        <v>185</v>
      </c>
      <c r="B70" s="22">
        <v>91.0</v>
      </c>
      <c r="C70" s="9">
        <v>3.1345268E7</v>
      </c>
      <c r="D70" s="9">
        <v>8444744.0</v>
      </c>
      <c r="E70" s="10" t="str">
        <f>IF(C70&gt;percent,"YES","NO")</f>
        <v>NO</v>
      </c>
      <c r="F70" s="19">
        <v>95000.0</v>
      </c>
      <c r="G70" s="12" t="str">
        <f t="shared" si="2"/>
        <v>NOT FUNDED</v>
      </c>
      <c r="H70" s="20">
        <f t="shared" si="3"/>
        <v>513764</v>
      </c>
      <c r="I70" s="14" t="str">
        <f t="shared" si="1"/>
        <v>Approval Threshold</v>
      </c>
    </row>
    <row r="71">
      <c r="A71" s="18" t="s">
        <v>186</v>
      </c>
      <c r="B71" s="22">
        <v>137.0</v>
      </c>
      <c r="C71" s="9">
        <v>3.1316196E7</v>
      </c>
      <c r="D71" s="9">
        <v>5385148.0</v>
      </c>
      <c r="E71" s="10" t="str">
        <f>IF(C71&gt;percent,"YES","NO")</f>
        <v>NO</v>
      </c>
      <c r="F71" s="19">
        <v>50000.0</v>
      </c>
      <c r="G71" s="12" t="str">
        <f t="shared" si="2"/>
        <v>NOT FUNDED</v>
      </c>
      <c r="H71" s="20">
        <f t="shared" si="3"/>
        <v>513764</v>
      </c>
      <c r="I71" s="14" t="str">
        <f t="shared" si="1"/>
        <v>Approval Threshold</v>
      </c>
    </row>
    <row r="72">
      <c r="A72" s="18" t="s">
        <v>187</v>
      </c>
      <c r="B72" s="22">
        <v>93.0</v>
      </c>
      <c r="C72" s="9">
        <v>3.0885738E7</v>
      </c>
      <c r="D72" s="9">
        <v>2.5446525E7</v>
      </c>
      <c r="E72" s="10" t="str">
        <f>IF(C72&gt;percent,"YES","NO")</f>
        <v>NO</v>
      </c>
      <c r="F72" s="19">
        <v>100000.0</v>
      </c>
      <c r="G72" s="12" t="str">
        <f t="shared" si="2"/>
        <v>NOT FUNDED</v>
      </c>
      <c r="H72" s="20">
        <f t="shared" si="3"/>
        <v>513764</v>
      </c>
      <c r="I72" s="14" t="str">
        <f t="shared" si="1"/>
        <v>Approval Threshold</v>
      </c>
    </row>
    <row r="73">
      <c r="A73" s="18" t="s">
        <v>188</v>
      </c>
      <c r="B73" s="22">
        <v>169.0</v>
      </c>
      <c r="C73" s="9">
        <v>3.0871949E7</v>
      </c>
      <c r="D73" s="9">
        <v>6223543.0</v>
      </c>
      <c r="E73" s="10" t="str">
        <f>IF(C73&gt;percent,"YES","NO")</f>
        <v>NO</v>
      </c>
      <c r="F73" s="19">
        <v>95000.0</v>
      </c>
      <c r="G73" s="12" t="str">
        <f t="shared" si="2"/>
        <v>NOT FUNDED</v>
      </c>
      <c r="H73" s="20">
        <f t="shared" si="3"/>
        <v>513764</v>
      </c>
      <c r="I73" s="14" t="str">
        <f t="shared" si="1"/>
        <v>Approval Threshold</v>
      </c>
    </row>
    <row r="74">
      <c r="A74" s="18" t="s">
        <v>189</v>
      </c>
      <c r="B74" s="22">
        <v>179.0</v>
      </c>
      <c r="C74" s="9">
        <v>3.0566279E7</v>
      </c>
      <c r="D74" s="9">
        <v>1.1926306E7</v>
      </c>
      <c r="E74" s="10" t="str">
        <f>IF(C74&gt;percent,"YES","NO")</f>
        <v>NO</v>
      </c>
      <c r="F74" s="19">
        <v>100000.0</v>
      </c>
      <c r="G74" s="12" t="str">
        <f t="shared" si="2"/>
        <v>NOT FUNDED</v>
      </c>
      <c r="H74" s="20">
        <f t="shared" si="3"/>
        <v>513764</v>
      </c>
      <c r="I74" s="14" t="str">
        <f t="shared" si="1"/>
        <v>Approval Threshold</v>
      </c>
    </row>
    <row r="75">
      <c r="A75" s="18" t="s">
        <v>190</v>
      </c>
      <c r="B75" s="22">
        <v>175.0</v>
      </c>
      <c r="C75" s="9">
        <v>3.0097107E7</v>
      </c>
      <c r="D75" s="9">
        <v>2.4364545E7</v>
      </c>
      <c r="E75" s="10" t="str">
        <f>IF(C75&gt;percent,"YES","NO")</f>
        <v>NO</v>
      </c>
      <c r="F75" s="19">
        <v>95000.0</v>
      </c>
      <c r="G75" s="12" t="str">
        <f t="shared" si="2"/>
        <v>NOT FUNDED</v>
      </c>
      <c r="H75" s="20">
        <f t="shared" si="3"/>
        <v>513764</v>
      </c>
      <c r="I75" s="14" t="str">
        <f t="shared" si="1"/>
        <v>Approval Threshold</v>
      </c>
    </row>
    <row r="76">
      <c r="A76" s="18" t="s">
        <v>191</v>
      </c>
      <c r="B76" s="22">
        <v>150.0</v>
      </c>
      <c r="C76" s="9">
        <v>2.9808013E7</v>
      </c>
      <c r="D76" s="9">
        <v>1.0043081E7</v>
      </c>
      <c r="E76" s="10" t="str">
        <f>IF(C76&gt;percent,"YES","NO")</f>
        <v>NO</v>
      </c>
      <c r="F76" s="19">
        <v>100000.0</v>
      </c>
      <c r="G76" s="12" t="str">
        <f t="shared" si="2"/>
        <v>NOT FUNDED</v>
      </c>
      <c r="H76" s="20">
        <f t="shared" si="3"/>
        <v>513764</v>
      </c>
      <c r="I76" s="14" t="str">
        <f t="shared" si="1"/>
        <v>Approval Threshold</v>
      </c>
    </row>
    <row r="77">
      <c r="A77" s="18" t="s">
        <v>192</v>
      </c>
      <c r="B77" s="22">
        <v>87.0</v>
      </c>
      <c r="C77" s="9">
        <v>2.9685849E7</v>
      </c>
      <c r="D77" s="9">
        <v>5956469.0</v>
      </c>
      <c r="E77" s="10" t="str">
        <f>IF(C77&gt;percent,"YES","NO")</f>
        <v>NO</v>
      </c>
      <c r="F77" s="19">
        <v>65000.0</v>
      </c>
      <c r="G77" s="12" t="str">
        <f t="shared" si="2"/>
        <v>NOT FUNDED</v>
      </c>
      <c r="H77" s="20">
        <f t="shared" si="3"/>
        <v>513764</v>
      </c>
      <c r="I77" s="14" t="str">
        <f t="shared" si="1"/>
        <v>Approval Threshold</v>
      </c>
    </row>
    <row r="78">
      <c r="A78" s="18" t="s">
        <v>193</v>
      </c>
      <c r="B78" s="22">
        <v>159.0</v>
      </c>
      <c r="C78" s="9">
        <v>2.8961906E7</v>
      </c>
      <c r="D78" s="9">
        <v>4250220.0</v>
      </c>
      <c r="E78" s="10" t="str">
        <f>IF(C78&gt;percent,"YES","NO")</f>
        <v>NO</v>
      </c>
      <c r="F78" s="19">
        <v>96000.0</v>
      </c>
      <c r="G78" s="12" t="str">
        <f t="shared" si="2"/>
        <v>NOT FUNDED</v>
      </c>
      <c r="H78" s="20">
        <f t="shared" si="3"/>
        <v>513764</v>
      </c>
      <c r="I78" s="14" t="str">
        <f t="shared" si="1"/>
        <v>Approval Threshold</v>
      </c>
    </row>
    <row r="79">
      <c r="A79" s="18" t="s">
        <v>194</v>
      </c>
      <c r="B79" s="22">
        <v>143.0</v>
      </c>
      <c r="C79" s="9">
        <v>2.8830624E7</v>
      </c>
      <c r="D79" s="9">
        <v>4621666.0</v>
      </c>
      <c r="E79" s="10" t="str">
        <f>IF(C79&gt;percent,"YES","NO")</f>
        <v>NO</v>
      </c>
      <c r="F79" s="19">
        <v>86500.0</v>
      </c>
      <c r="G79" s="12" t="str">
        <f t="shared" si="2"/>
        <v>NOT FUNDED</v>
      </c>
      <c r="H79" s="20">
        <f t="shared" si="3"/>
        <v>513764</v>
      </c>
      <c r="I79" s="14" t="str">
        <f t="shared" si="1"/>
        <v>Approval Threshold</v>
      </c>
    </row>
    <row r="80">
      <c r="A80" s="18" t="s">
        <v>195</v>
      </c>
      <c r="B80" s="22">
        <v>191.0</v>
      </c>
      <c r="C80" s="9">
        <v>2.8413027E7</v>
      </c>
      <c r="D80" s="9">
        <v>5248685.0</v>
      </c>
      <c r="E80" s="10" t="str">
        <f>IF(C80&gt;percent,"YES","NO")</f>
        <v>NO</v>
      </c>
      <c r="F80" s="19">
        <v>97250.0</v>
      </c>
      <c r="G80" s="12" t="str">
        <f t="shared" si="2"/>
        <v>NOT FUNDED</v>
      </c>
      <c r="H80" s="20">
        <f t="shared" si="3"/>
        <v>513764</v>
      </c>
      <c r="I80" s="14" t="str">
        <f t="shared" si="1"/>
        <v>Approval Threshold</v>
      </c>
    </row>
    <row r="81">
      <c r="A81" s="18" t="s">
        <v>196</v>
      </c>
      <c r="B81" s="22">
        <v>118.0</v>
      </c>
      <c r="C81" s="9">
        <v>2.6518279E7</v>
      </c>
      <c r="D81" s="9">
        <v>1.2036158E7</v>
      </c>
      <c r="E81" s="10" t="str">
        <f>IF(C81&gt;percent,"YES","NO")</f>
        <v>NO</v>
      </c>
      <c r="F81" s="19">
        <v>100000.0</v>
      </c>
      <c r="G81" s="12" t="str">
        <f t="shared" si="2"/>
        <v>NOT FUNDED</v>
      </c>
      <c r="H81" s="20">
        <f t="shared" si="3"/>
        <v>513764</v>
      </c>
      <c r="I81" s="14" t="str">
        <f t="shared" si="1"/>
        <v>Approval Threshold</v>
      </c>
    </row>
    <row r="82">
      <c r="A82" s="18" t="s">
        <v>197</v>
      </c>
      <c r="B82" s="22">
        <v>116.0</v>
      </c>
      <c r="C82" s="9">
        <v>2.6294042E7</v>
      </c>
      <c r="D82" s="9">
        <v>1.40485E7</v>
      </c>
      <c r="E82" s="10" t="str">
        <f>IF(C82&gt;percent,"YES","NO")</f>
        <v>NO</v>
      </c>
      <c r="F82" s="19">
        <v>100000.0</v>
      </c>
      <c r="G82" s="12" t="str">
        <f t="shared" si="2"/>
        <v>NOT FUNDED</v>
      </c>
      <c r="H82" s="20">
        <f t="shared" si="3"/>
        <v>513764</v>
      </c>
      <c r="I82" s="14" t="str">
        <f t="shared" si="1"/>
        <v>Approval Threshold</v>
      </c>
    </row>
    <row r="83">
      <c r="A83" s="18" t="s">
        <v>198</v>
      </c>
      <c r="B83" s="22">
        <v>119.0</v>
      </c>
      <c r="C83" s="9">
        <v>2.5925237E7</v>
      </c>
      <c r="D83" s="9">
        <v>2.8799137E7</v>
      </c>
      <c r="E83" s="10" t="str">
        <f>IF(C83&gt;percent,"YES","NO")</f>
        <v>NO</v>
      </c>
      <c r="F83" s="19">
        <v>100000.0</v>
      </c>
      <c r="G83" s="12" t="str">
        <f t="shared" si="2"/>
        <v>NOT FUNDED</v>
      </c>
      <c r="H83" s="20">
        <f t="shared" si="3"/>
        <v>513764</v>
      </c>
      <c r="I83" s="14" t="str">
        <f t="shared" si="1"/>
        <v>Approval Threshold</v>
      </c>
    </row>
    <row r="84">
      <c r="A84" s="18" t="s">
        <v>199</v>
      </c>
      <c r="B84" s="22">
        <v>132.0</v>
      </c>
      <c r="C84" s="9">
        <v>2.5760911E7</v>
      </c>
      <c r="D84" s="9">
        <v>1.4090178E7</v>
      </c>
      <c r="E84" s="10" t="str">
        <f>IF(C84&gt;percent,"YES","NO")</f>
        <v>NO</v>
      </c>
      <c r="F84" s="19">
        <v>100000.0</v>
      </c>
      <c r="G84" s="12" t="str">
        <f t="shared" si="2"/>
        <v>NOT FUNDED</v>
      </c>
      <c r="H84" s="20">
        <f t="shared" si="3"/>
        <v>513764</v>
      </c>
      <c r="I84" s="14" t="str">
        <f t="shared" si="1"/>
        <v>Approval Threshold</v>
      </c>
    </row>
    <row r="85">
      <c r="A85" s="18" t="s">
        <v>200</v>
      </c>
      <c r="B85" s="22">
        <v>100.0</v>
      </c>
      <c r="C85" s="9">
        <v>2.5425859E7</v>
      </c>
      <c r="D85" s="9">
        <v>9613420.0</v>
      </c>
      <c r="E85" s="10" t="str">
        <f>IF(C85&gt;percent,"YES","NO")</f>
        <v>NO</v>
      </c>
      <c r="F85" s="19">
        <v>100000.0</v>
      </c>
      <c r="G85" s="12" t="str">
        <f t="shared" si="2"/>
        <v>NOT FUNDED</v>
      </c>
      <c r="H85" s="20">
        <f t="shared" si="3"/>
        <v>513764</v>
      </c>
      <c r="I85" s="14" t="str">
        <f t="shared" si="1"/>
        <v>Approval Threshold</v>
      </c>
    </row>
    <row r="86">
      <c r="A86" s="18" t="s">
        <v>201</v>
      </c>
      <c r="B86" s="22">
        <v>136.0</v>
      </c>
      <c r="C86" s="9">
        <v>2.5143158E7</v>
      </c>
      <c r="D86" s="9">
        <v>1.1421066E7</v>
      </c>
      <c r="E86" s="10" t="str">
        <f>IF(C86&gt;percent,"YES","NO")</f>
        <v>NO</v>
      </c>
      <c r="F86" s="19">
        <v>100000.0</v>
      </c>
      <c r="G86" s="12" t="str">
        <f t="shared" si="2"/>
        <v>NOT FUNDED</v>
      </c>
      <c r="H86" s="20">
        <f t="shared" si="3"/>
        <v>513764</v>
      </c>
      <c r="I86" s="14" t="str">
        <f t="shared" si="1"/>
        <v>Approval Threshold</v>
      </c>
    </row>
    <row r="87">
      <c r="A87" s="18" t="s">
        <v>202</v>
      </c>
      <c r="B87" s="22">
        <v>136.0</v>
      </c>
      <c r="C87" s="9">
        <v>2.4937178E7</v>
      </c>
      <c r="D87" s="9">
        <v>1.1992942E7</v>
      </c>
      <c r="E87" s="10" t="str">
        <f>IF(C87&gt;percent,"YES","NO")</f>
        <v>NO</v>
      </c>
      <c r="F87" s="19">
        <v>100000.0</v>
      </c>
      <c r="G87" s="12" t="str">
        <f t="shared" si="2"/>
        <v>NOT FUNDED</v>
      </c>
      <c r="H87" s="20">
        <f t="shared" si="3"/>
        <v>513764</v>
      </c>
      <c r="I87" s="14" t="str">
        <f t="shared" si="1"/>
        <v>Approval Threshold</v>
      </c>
    </row>
    <row r="88">
      <c r="A88" s="18" t="s">
        <v>203</v>
      </c>
      <c r="B88" s="22">
        <v>124.0</v>
      </c>
      <c r="C88" s="9">
        <v>2.4465395E7</v>
      </c>
      <c r="D88" s="9">
        <v>7260372.0</v>
      </c>
      <c r="E88" s="10" t="str">
        <f>IF(C88&gt;percent,"YES","NO")</f>
        <v>NO</v>
      </c>
      <c r="F88" s="19">
        <v>96000.0</v>
      </c>
      <c r="G88" s="12" t="str">
        <f t="shared" si="2"/>
        <v>NOT FUNDED</v>
      </c>
      <c r="H88" s="20">
        <f t="shared" si="3"/>
        <v>513764</v>
      </c>
      <c r="I88" s="14" t="str">
        <f t="shared" si="1"/>
        <v>Approval Threshold</v>
      </c>
    </row>
    <row r="89">
      <c r="A89" s="18" t="s">
        <v>204</v>
      </c>
      <c r="B89" s="22">
        <v>116.0</v>
      </c>
      <c r="C89" s="9">
        <v>2.4294597E7</v>
      </c>
      <c r="D89" s="9">
        <v>2.5386486E7</v>
      </c>
      <c r="E89" s="10" t="str">
        <f>IF(C89&gt;percent,"YES","NO")</f>
        <v>NO</v>
      </c>
      <c r="F89" s="19">
        <v>100000.0</v>
      </c>
      <c r="G89" s="12" t="str">
        <f t="shared" si="2"/>
        <v>NOT FUNDED</v>
      </c>
      <c r="H89" s="20">
        <f t="shared" si="3"/>
        <v>513764</v>
      </c>
      <c r="I89" s="14" t="str">
        <f t="shared" si="1"/>
        <v>Approval Threshold</v>
      </c>
    </row>
    <row r="90">
      <c r="A90" s="18" t="s">
        <v>205</v>
      </c>
      <c r="B90" s="22">
        <v>100.0</v>
      </c>
      <c r="C90" s="9">
        <v>2.4067605E7</v>
      </c>
      <c r="D90" s="9">
        <v>1.0064472E7</v>
      </c>
      <c r="E90" s="10" t="str">
        <f>IF(C90&gt;percent,"YES","NO")</f>
        <v>NO</v>
      </c>
      <c r="F90" s="19">
        <v>100000.0</v>
      </c>
      <c r="G90" s="12" t="str">
        <f t="shared" si="2"/>
        <v>NOT FUNDED</v>
      </c>
      <c r="H90" s="20">
        <f t="shared" si="3"/>
        <v>513764</v>
      </c>
      <c r="I90" s="14" t="str">
        <f t="shared" si="1"/>
        <v>Approval Threshold</v>
      </c>
    </row>
    <row r="91">
      <c r="A91" s="18" t="s">
        <v>206</v>
      </c>
      <c r="B91" s="22">
        <v>121.0</v>
      </c>
      <c r="C91" s="9">
        <v>2.4003574E7</v>
      </c>
      <c r="D91" s="9">
        <v>7881892.0</v>
      </c>
      <c r="E91" s="10" t="str">
        <f>IF(C91&gt;percent,"YES","NO")</f>
        <v>NO</v>
      </c>
      <c r="F91" s="19">
        <v>98500.0</v>
      </c>
      <c r="G91" s="12" t="str">
        <f t="shared" si="2"/>
        <v>NOT FUNDED</v>
      </c>
      <c r="H91" s="20">
        <f t="shared" si="3"/>
        <v>513764</v>
      </c>
      <c r="I91" s="14" t="str">
        <f t="shared" si="1"/>
        <v>Approval Threshold</v>
      </c>
    </row>
    <row r="92">
      <c r="A92" s="18" t="s">
        <v>207</v>
      </c>
      <c r="B92" s="22">
        <v>123.0</v>
      </c>
      <c r="C92" s="9">
        <v>2.4002632E7</v>
      </c>
      <c r="D92" s="9">
        <v>9889578.0</v>
      </c>
      <c r="E92" s="10" t="str">
        <f>IF(C92&gt;percent,"YES","NO")</f>
        <v>NO</v>
      </c>
      <c r="F92" s="19">
        <v>100000.0</v>
      </c>
      <c r="G92" s="12" t="str">
        <f t="shared" si="2"/>
        <v>NOT FUNDED</v>
      </c>
      <c r="H92" s="20">
        <f t="shared" si="3"/>
        <v>513764</v>
      </c>
      <c r="I92" s="14" t="str">
        <f t="shared" si="1"/>
        <v>Approval Threshold</v>
      </c>
    </row>
    <row r="93">
      <c r="A93" s="18" t="s">
        <v>208</v>
      </c>
      <c r="B93" s="22">
        <v>149.0</v>
      </c>
      <c r="C93" s="9">
        <v>2.3737152E7</v>
      </c>
      <c r="D93" s="9">
        <v>1.1907152E7</v>
      </c>
      <c r="E93" s="10" t="str">
        <f>IF(C93&gt;percent,"YES","NO")</f>
        <v>NO</v>
      </c>
      <c r="F93" s="19">
        <v>100000.0</v>
      </c>
      <c r="G93" s="12" t="str">
        <f t="shared" si="2"/>
        <v>NOT FUNDED</v>
      </c>
      <c r="H93" s="20">
        <f t="shared" si="3"/>
        <v>513764</v>
      </c>
      <c r="I93" s="14" t="str">
        <f t="shared" si="1"/>
        <v>Approval Threshold</v>
      </c>
    </row>
    <row r="94">
      <c r="A94" s="18" t="s">
        <v>209</v>
      </c>
      <c r="B94" s="22">
        <v>129.0</v>
      </c>
      <c r="C94" s="9">
        <v>2.3707619E7</v>
      </c>
      <c r="D94" s="9">
        <v>7429661.0</v>
      </c>
      <c r="E94" s="10" t="str">
        <f>IF(C94&gt;percent,"YES","NO")</f>
        <v>NO</v>
      </c>
      <c r="F94" s="19">
        <v>91760.0</v>
      </c>
      <c r="G94" s="12" t="str">
        <f t="shared" si="2"/>
        <v>NOT FUNDED</v>
      </c>
      <c r="H94" s="20">
        <f t="shared" si="3"/>
        <v>513764</v>
      </c>
      <c r="I94" s="14" t="str">
        <f t="shared" si="1"/>
        <v>Approval Threshold</v>
      </c>
    </row>
    <row r="95">
      <c r="A95" s="18" t="s">
        <v>210</v>
      </c>
      <c r="B95" s="22">
        <v>80.0</v>
      </c>
      <c r="C95" s="9">
        <v>2.3487986E7</v>
      </c>
      <c r="D95" s="9">
        <v>1.2148739E7</v>
      </c>
      <c r="E95" s="10" t="str">
        <f>IF(C95&gt;percent,"YES","NO")</f>
        <v>NO</v>
      </c>
      <c r="F95" s="19">
        <v>100000.0</v>
      </c>
      <c r="G95" s="12" t="str">
        <f t="shared" si="2"/>
        <v>NOT FUNDED</v>
      </c>
      <c r="H95" s="20">
        <f t="shared" si="3"/>
        <v>513764</v>
      </c>
      <c r="I95" s="14" t="str">
        <f t="shared" si="1"/>
        <v>Approval Threshold</v>
      </c>
    </row>
    <row r="96">
      <c r="A96" s="18" t="s">
        <v>211</v>
      </c>
      <c r="B96" s="22">
        <v>112.0</v>
      </c>
      <c r="C96" s="9">
        <v>2.3421718E7</v>
      </c>
      <c r="D96" s="9">
        <v>1.2419673E7</v>
      </c>
      <c r="E96" s="10" t="str">
        <f>IF(C96&gt;percent,"YES","NO")</f>
        <v>NO</v>
      </c>
      <c r="F96" s="19">
        <v>100000.0</v>
      </c>
      <c r="G96" s="12" t="str">
        <f t="shared" si="2"/>
        <v>NOT FUNDED</v>
      </c>
      <c r="H96" s="20">
        <f t="shared" si="3"/>
        <v>513764</v>
      </c>
      <c r="I96" s="14" t="str">
        <f t="shared" si="1"/>
        <v>Approval Threshold</v>
      </c>
    </row>
    <row r="97">
      <c r="A97" s="18" t="s">
        <v>212</v>
      </c>
      <c r="B97" s="22">
        <v>110.0</v>
      </c>
      <c r="C97" s="9">
        <v>2.3113137E7</v>
      </c>
      <c r="D97" s="9">
        <v>3.2274622E7</v>
      </c>
      <c r="E97" s="10" t="str">
        <f>IF(C97&gt;percent,"YES","NO")</f>
        <v>NO</v>
      </c>
      <c r="F97" s="19">
        <v>100000.0</v>
      </c>
      <c r="G97" s="12" t="str">
        <f t="shared" si="2"/>
        <v>NOT FUNDED</v>
      </c>
      <c r="H97" s="20">
        <f t="shared" si="3"/>
        <v>513764</v>
      </c>
      <c r="I97" s="14" t="str">
        <f t="shared" si="1"/>
        <v>Approval Threshold</v>
      </c>
    </row>
    <row r="98">
      <c r="A98" s="18" t="s">
        <v>213</v>
      </c>
      <c r="B98" s="22">
        <v>159.0</v>
      </c>
      <c r="C98" s="9">
        <v>2.2951606E7</v>
      </c>
      <c r="D98" s="9">
        <v>9583441.0</v>
      </c>
      <c r="E98" s="10" t="str">
        <f>IF(C98&gt;percent,"YES","NO")</f>
        <v>NO</v>
      </c>
      <c r="F98" s="19">
        <v>100000.0</v>
      </c>
      <c r="G98" s="12" t="str">
        <f t="shared" si="2"/>
        <v>NOT FUNDED</v>
      </c>
      <c r="H98" s="20">
        <f t="shared" si="3"/>
        <v>513764</v>
      </c>
      <c r="I98" s="14" t="str">
        <f t="shared" si="1"/>
        <v>Approval Threshold</v>
      </c>
    </row>
    <row r="99">
      <c r="A99" s="18" t="s">
        <v>214</v>
      </c>
      <c r="B99" s="22">
        <v>113.0</v>
      </c>
      <c r="C99" s="9">
        <v>2.2882256E7</v>
      </c>
      <c r="D99" s="9">
        <v>1.1799705E7</v>
      </c>
      <c r="E99" s="10" t="str">
        <f>IF(C99&gt;percent,"YES","NO")</f>
        <v>NO</v>
      </c>
      <c r="F99" s="19">
        <v>100000.0</v>
      </c>
      <c r="G99" s="12" t="str">
        <f t="shared" si="2"/>
        <v>NOT FUNDED</v>
      </c>
      <c r="H99" s="20">
        <f t="shared" si="3"/>
        <v>513764</v>
      </c>
      <c r="I99" s="14" t="str">
        <f t="shared" si="1"/>
        <v>Approval Threshold</v>
      </c>
    </row>
    <row r="100">
      <c r="A100" s="18" t="s">
        <v>215</v>
      </c>
      <c r="B100" s="22">
        <v>105.0</v>
      </c>
      <c r="C100" s="9">
        <v>2.2536956E7</v>
      </c>
      <c r="D100" s="9">
        <v>6935504.0</v>
      </c>
      <c r="E100" s="10" t="str">
        <f>IF(C100&gt;percent,"YES","NO")</f>
        <v>NO</v>
      </c>
      <c r="F100" s="19">
        <v>99000.0</v>
      </c>
      <c r="G100" s="12" t="str">
        <f t="shared" si="2"/>
        <v>NOT FUNDED</v>
      </c>
      <c r="H100" s="20">
        <f t="shared" si="3"/>
        <v>513764</v>
      </c>
      <c r="I100" s="14" t="str">
        <f t="shared" si="1"/>
        <v>Approval Threshold</v>
      </c>
    </row>
    <row r="101">
      <c r="A101" s="18" t="s">
        <v>216</v>
      </c>
      <c r="B101" s="22">
        <v>114.0</v>
      </c>
      <c r="C101" s="9">
        <v>2.2372614E7</v>
      </c>
      <c r="D101" s="9">
        <v>2.4657785E7</v>
      </c>
      <c r="E101" s="10" t="str">
        <f>IF(C101&gt;percent,"YES","NO")</f>
        <v>NO</v>
      </c>
      <c r="F101" s="19">
        <v>100000.0</v>
      </c>
      <c r="G101" s="12" t="str">
        <f t="shared" si="2"/>
        <v>NOT FUNDED</v>
      </c>
      <c r="H101" s="20">
        <f t="shared" si="3"/>
        <v>513764</v>
      </c>
      <c r="I101" s="14" t="str">
        <f t="shared" si="1"/>
        <v>Approval Threshold</v>
      </c>
    </row>
    <row r="102">
      <c r="A102" s="18" t="s">
        <v>217</v>
      </c>
      <c r="B102" s="22">
        <v>144.0</v>
      </c>
      <c r="C102" s="9">
        <v>2.2346095E7</v>
      </c>
      <c r="D102" s="9">
        <v>4917121.0</v>
      </c>
      <c r="E102" s="10" t="str">
        <f>IF(C102&gt;percent,"YES","NO")</f>
        <v>NO</v>
      </c>
      <c r="F102" s="19">
        <v>68000.0</v>
      </c>
      <c r="G102" s="12" t="str">
        <f t="shared" si="2"/>
        <v>NOT FUNDED</v>
      </c>
      <c r="H102" s="20">
        <f t="shared" si="3"/>
        <v>513764</v>
      </c>
      <c r="I102" s="14" t="str">
        <f t="shared" si="1"/>
        <v>Approval Threshold</v>
      </c>
    </row>
    <row r="103">
      <c r="A103" s="18" t="s">
        <v>218</v>
      </c>
      <c r="B103" s="22">
        <v>103.0</v>
      </c>
      <c r="C103" s="9">
        <v>2.2169525E7</v>
      </c>
      <c r="D103" s="9">
        <v>2.5921581E7</v>
      </c>
      <c r="E103" s="10" t="str">
        <f>IF(C103&gt;percent,"YES","NO")</f>
        <v>NO</v>
      </c>
      <c r="F103" s="19">
        <v>95000.0</v>
      </c>
      <c r="G103" s="12" t="str">
        <f t="shared" si="2"/>
        <v>NOT FUNDED</v>
      </c>
      <c r="H103" s="20">
        <f t="shared" si="3"/>
        <v>513764</v>
      </c>
      <c r="I103" s="14" t="str">
        <f t="shared" si="1"/>
        <v>Approval Threshold</v>
      </c>
    </row>
    <row r="104">
      <c r="A104" s="18" t="s">
        <v>219</v>
      </c>
      <c r="B104" s="22">
        <v>130.0</v>
      </c>
      <c r="C104" s="9">
        <v>2.155369E7</v>
      </c>
      <c r="D104" s="9">
        <v>2.1601353E7</v>
      </c>
      <c r="E104" s="10" t="str">
        <f>IF(C104&gt;percent,"YES","NO")</f>
        <v>NO</v>
      </c>
      <c r="F104" s="19">
        <v>92000.0</v>
      </c>
      <c r="G104" s="12" t="str">
        <f t="shared" si="2"/>
        <v>NOT FUNDED</v>
      </c>
      <c r="H104" s="20">
        <f t="shared" si="3"/>
        <v>513764</v>
      </c>
      <c r="I104" s="14" t="str">
        <f t="shared" si="1"/>
        <v>Approval Threshold</v>
      </c>
    </row>
    <row r="105">
      <c r="A105" s="18" t="s">
        <v>220</v>
      </c>
      <c r="B105" s="22">
        <v>156.0</v>
      </c>
      <c r="C105" s="9">
        <v>2.1402158E7</v>
      </c>
      <c r="D105" s="9">
        <v>8276932.0</v>
      </c>
      <c r="E105" s="10" t="str">
        <f>IF(C105&gt;percent,"YES","NO")</f>
        <v>NO</v>
      </c>
      <c r="F105" s="19">
        <v>74000.0</v>
      </c>
      <c r="G105" s="12" t="str">
        <f t="shared" si="2"/>
        <v>NOT FUNDED</v>
      </c>
      <c r="H105" s="20">
        <f t="shared" si="3"/>
        <v>513764</v>
      </c>
      <c r="I105" s="14" t="str">
        <f t="shared" si="1"/>
        <v>Approval Threshold</v>
      </c>
    </row>
    <row r="106">
      <c r="A106" s="18" t="s">
        <v>221</v>
      </c>
      <c r="B106" s="22">
        <v>90.0</v>
      </c>
      <c r="C106" s="9">
        <v>2.1102931E7</v>
      </c>
      <c r="D106" s="9">
        <v>8842334.0</v>
      </c>
      <c r="E106" s="10" t="str">
        <f>IF(C106&gt;percent,"YES","NO")</f>
        <v>NO</v>
      </c>
      <c r="F106" s="19">
        <v>100000.0</v>
      </c>
      <c r="G106" s="12" t="str">
        <f t="shared" si="2"/>
        <v>NOT FUNDED</v>
      </c>
      <c r="H106" s="20">
        <f t="shared" si="3"/>
        <v>513764</v>
      </c>
      <c r="I106" s="14" t="str">
        <f t="shared" si="1"/>
        <v>Approval Threshold</v>
      </c>
    </row>
    <row r="107">
      <c r="A107" s="18" t="s">
        <v>222</v>
      </c>
      <c r="B107" s="22">
        <v>122.0</v>
      </c>
      <c r="C107" s="9">
        <v>2.0929163E7</v>
      </c>
      <c r="D107" s="9">
        <v>1.1438479E7</v>
      </c>
      <c r="E107" s="10" t="str">
        <f>IF(C107&gt;percent,"YES","NO")</f>
        <v>NO</v>
      </c>
      <c r="F107" s="19">
        <v>100000.0</v>
      </c>
      <c r="G107" s="12" t="str">
        <f t="shared" si="2"/>
        <v>NOT FUNDED</v>
      </c>
      <c r="H107" s="20">
        <f t="shared" si="3"/>
        <v>513764</v>
      </c>
      <c r="I107" s="14" t="str">
        <f t="shared" si="1"/>
        <v>Approval Threshold</v>
      </c>
    </row>
    <row r="108">
      <c r="A108" s="18" t="s">
        <v>223</v>
      </c>
      <c r="B108" s="22">
        <v>135.0</v>
      </c>
      <c r="C108" s="9">
        <v>2.0671182E7</v>
      </c>
      <c r="D108" s="9">
        <v>8959572.0</v>
      </c>
      <c r="E108" s="10" t="str">
        <f>IF(C108&gt;percent,"YES","NO")</f>
        <v>NO</v>
      </c>
      <c r="F108" s="19">
        <v>88000.0</v>
      </c>
      <c r="G108" s="12" t="str">
        <f t="shared" si="2"/>
        <v>NOT FUNDED</v>
      </c>
      <c r="H108" s="20">
        <f t="shared" si="3"/>
        <v>513764</v>
      </c>
      <c r="I108" s="14" t="str">
        <f t="shared" si="1"/>
        <v>Approval Threshold</v>
      </c>
    </row>
    <row r="109">
      <c r="A109" s="18" t="s">
        <v>224</v>
      </c>
      <c r="B109" s="22">
        <v>131.0</v>
      </c>
      <c r="C109" s="9">
        <v>2.0659734E7</v>
      </c>
      <c r="D109" s="9">
        <v>9087754.0</v>
      </c>
      <c r="E109" s="10" t="str">
        <f>IF(C109&gt;percent,"YES","NO")</f>
        <v>NO</v>
      </c>
      <c r="F109" s="19">
        <v>100000.0</v>
      </c>
      <c r="G109" s="12" t="str">
        <f t="shared" si="2"/>
        <v>NOT FUNDED</v>
      </c>
      <c r="H109" s="20">
        <f t="shared" si="3"/>
        <v>513764</v>
      </c>
      <c r="I109" s="14" t="str">
        <f t="shared" si="1"/>
        <v>Approval Threshold</v>
      </c>
    </row>
    <row r="110">
      <c r="A110" s="18" t="s">
        <v>225</v>
      </c>
      <c r="B110" s="22">
        <v>105.0</v>
      </c>
      <c r="C110" s="9">
        <v>2.0598292E7</v>
      </c>
      <c r="D110" s="9">
        <v>6647660.0</v>
      </c>
      <c r="E110" s="10" t="str">
        <f>IF(C110&gt;percent,"YES","NO")</f>
        <v>NO</v>
      </c>
      <c r="F110" s="19">
        <v>40000.0</v>
      </c>
      <c r="G110" s="12" t="str">
        <f t="shared" si="2"/>
        <v>NOT FUNDED</v>
      </c>
      <c r="H110" s="20">
        <f t="shared" si="3"/>
        <v>513764</v>
      </c>
      <c r="I110" s="14" t="str">
        <f t="shared" si="1"/>
        <v>Approval Threshold</v>
      </c>
    </row>
    <row r="111">
      <c r="A111" s="18" t="s">
        <v>226</v>
      </c>
      <c r="B111" s="22">
        <v>204.0</v>
      </c>
      <c r="C111" s="9">
        <v>2.0575446E7</v>
      </c>
      <c r="D111" s="9">
        <v>3.7484979E7</v>
      </c>
      <c r="E111" s="10" t="str">
        <f>IF(C111&gt;percent,"YES","NO")</f>
        <v>NO</v>
      </c>
      <c r="F111" s="19">
        <v>100000.0</v>
      </c>
      <c r="G111" s="12" t="str">
        <f t="shared" si="2"/>
        <v>NOT FUNDED</v>
      </c>
      <c r="H111" s="20">
        <f t="shared" si="3"/>
        <v>513764</v>
      </c>
      <c r="I111" s="14" t="str">
        <f t="shared" si="1"/>
        <v>Approval Threshold</v>
      </c>
    </row>
    <row r="112">
      <c r="A112" s="18" t="s">
        <v>227</v>
      </c>
      <c r="B112" s="22">
        <v>139.0</v>
      </c>
      <c r="C112" s="9">
        <v>2.0500345E7</v>
      </c>
      <c r="D112" s="9">
        <v>5627738.0</v>
      </c>
      <c r="E112" s="10" t="str">
        <f>IF(C112&gt;percent,"YES","NO")</f>
        <v>NO</v>
      </c>
      <c r="F112" s="19">
        <v>47000.0</v>
      </c>
      <c r="G112" s="12" t="str">
        <f t="shared" si="2"/>
        <v>NOT FUNDED</v>
      </c>
      <c r="H112" s="20">
        <f t="shared" si="3"/>
        <v>513764</v>
      </c>
      <c r="I112" s="14" t="str">
        <f t="shared" si="1"/>
        <v>Approval Threshold</v>
      </c>
    </row>
    <row r="113">
      <c r="A113" s="18" t="s">
        <v>228</v>
      </c>
      <c r="B113" s="22">
        <v>102.0</v>
      </c>
      <c r="C113" s="9">
        <v>2.0315883E7</v>
      </c>
      <c r="D113" s="9">
        <v>3.0378789E7</v>
      </c>
      <c r="E113" s="10" t="str">
        <f>IF(C113&gt;percent,"YES","NO")</f>
        <v>NO</v>
      </c>
      <c r="F113" s="19">
        <v>100000.0</v>
      </c>
      <c r="G113" s="12" t="str">
        <f t="shared" si="2"/>
        <v>NOT FUNDED</v>
      </c>
      <c r="H113" s="20">
        <f t="shared" si="3"/>
        <v>513764</v>
      </c>
      <c r="I113" s="14" t="str">
        <f t="shared" si="1"/>
        <v>Approval Threshold</v>
      </c>
    </row>
    <row r="114">
      <c r="A114" s="18" t="s">
        <v>229</v>
      </c>
      <c r="B114" s="22">
        <v>117.0</v>
      </c>
      <c r="C114" s="9">
        <v>2.0281188E7</v>
      </c>
      <c r="D114" s="9">
        <v>8848619.0</v>
      </c>
      <c r="E114" s="10" t="str">
        <f>IF(C114&gt;percent,"YES","NO")</f>
        <v>NO</v>
      </c>
      <c r="F114" s="19">
        <v>89615.0</v>
      </c>
      <c r="G114" s="12" t="str">
        <f t="shared" si="2"/>
        <v>NOT FUNDED</v>
      </c>
      <c r="H114" s="20">
        <f t="shared" si="3"/>
        <v>513764</v>
      </c>
      <c r="I114" s="14" t="str">
        <f t="shared" si="1"/>
        <v>Approval Threshold</v>
      </c>
    </row>
    <row r="115">
      <c r="A115" s="18" t="s">
        <v>230</v>
      </c>
      <c r="B115" s="22">
        <v>97.0</v>
      </c>
      <c r="C115" s="9">
        <v>2.0247976E7</v>
      </c>
      <c r="D115" s="9">
        <v>9354897.0</v>
      </c>
      <c r="E115" s="10" t="str">
        <f>IF(C115&gt;percent,"YES","NO")</f>
        <v>NO</v>
      </c>
      <c r="F115" s="19">
        <v>100000.0</v>
      </c>
      <c r="G115" s="12" t="str">
        <f t="shared" si="2"/>
        <v>NOT FUNDED</v>
      </c>
      <c r="H115" s="20">
        <f t="shared" si="3"/>
        <v>513764</v>
      </c>
      <c r="I115" s="14" t="str">
        <f t="shared" si="1"/>
        <v>Approval Threshold</v>
      </c>
    </row>
    <row r="116">
      <c r="A116" s="18" t="s">
        <v>231</v>
      </c>
      <c r="B116" s="22">
        <v>154.0</v>
      </c>
      <c r="C116" s="9">
        <v>2.0097645E7</v>
      </c>
      <c r="D116" s="9">
        <v>7539456.0</v>
      </c>
      <c r="E116" s="10" t="str">
        <f>IF(C116&gt;percent,"YES","NO")</f>
        <v>NO</v>
      </c>
      <c r="F116" s="19">
        <v>95000.0</v>
      </c>
      <c r="G116" s="12" t="str">
        <f t="shared" si="2"/>
        <v>NOT FUNDED</v>
      </c>
      <c r="H116" s="20">
        <f t="shared" si="3"/>
        <v>513764</v>
      </c>
      <c r="I116" s="14" t="str">
        <f t="shared" si="1"/>
        <v>Approval Threshold</v>
      </c>
    </row>
    <row r="117">
      <c r="A117" s="18" t="s">
        <v>232</v>
      </c>
      <c r="B117" s="22">
        <v>140.0</v>
      </c>
      <c r="C117" s="9">
        <v>1.9943191E7</v>
      </c>
      <c r="D117" s="9">
        <v>2.6093531E7</v>
      </c>
      <c r="E117" s="10" t="str">
        <f>IF(C117&gt;percent,"YES","NO")</f>
        <v>NO</v>
      </c>
      <c r="F117" s="19">
        <v>100000.0</v>
      </c>
      <c r="G117" s="12" t="str">
        <f t="shared" si="2"/>
        <v>NOT FUNDED</v>
      </c>
      <c r="H117" s="20">
        <f t="shared" si="3"/>
        <v>513764</v>
      </c>
      <c r="I117" s="14" t="str">
        <f t="shared" si="1"/>
        <v>Approval Threshold</v>
      </c>
    </row>
    <row r="118">
      <c r="A118" s="18" t="s">
        <v>233</v>
      </c>
      <c r="B118" s="22">
        <v>115.0</v>
      </c>
      <c r="C118" s="9">
        <v>1.96391E7</v>
      </c>
      <c r="D118" s="9">
        <v>2.4405141E7</v>
      </c>
      <c r="E118" s="10" t="str">
        <f>IF(C118&gt;percent,"YES","NO")</f>
        <v>NO</v>
      </c>
      <c r="F118" s="19">
        <v>100000.0</v>
      </c>
      <c r="G118" s="12" t="str">
        <f t="shared" si="2"/>
        <v>NOT FUNDED</v>
      </c>
      <c r="H118" s="20">
        <f t="shared" si="3"/>
        <v>513764</v>
      </c>
      <c r="I118" s="14" t="str">
        <f t="shared" si="1"/>
        <v>Approval Threshold</v>
      </c>
    </row>
    <row r="119">
      <c r="A119" s="18" t="s">
        <v>234</v>
      </c>
      <c r="B119" s="22">
        <v>111.0</v>
      </c>
      <c r="C119" s="9">
        <v>1.9282144E7</v>
      </c>
      <c r="D119" s="9">
        <v>1.3232143E7</v>
      </c>
      <c r="E119" s="10" t="str">
        <f>IF(C119&gt;percent,"YES","NO")</f>
        <v>NO</v>
      </c>
      <c r="F119" s="19">
        <v>95000.0</v>
      </c>
      <c r="G119" s="12" t="str">
        <f t="shared" si="2"/>
        <v>NOT FUNDED</v>
      </c>
      <c r="H119" s="20">
        <f t="shared" si="3"/>
        <v>513764</v>
      </c>
      <c r="I119" s="14" t="str">
        <f t="shared" si="1"/>
        <v>Approval Threshold</v>
      </c>
    </row>
    <row r="120">
      <c r="A120" s="18" t="s">
        <v>235</v>
      </c>
      <c r="B120" s="22">
        <v>99.0</v>
      </c>
      <c r="C120" s="9">
        <v>1.9180987E7</v>
      </c>
      <c r="D120" s="9">
        <v>4547935.0</v>
      </c>
      <c r="E120" s="10" t="str">
        <f>IF(C120&gt;percent,"YES","NO")</f>
        <v>NO</v>
      </c>
      <c r="F120" s="19">
        <v>50000.0</v>
      </c>
      <c r="G120" s="12" t="str">
        <f t="shared" si="2"/>
        <v>NOT FUNDED</v>
      </c>
      <c r="H120" s="20">
        <f t="shared" si="3"/>
        <v>513764</v>
      </c>
      <c r="I120" s="14" t="str">
        <f t="shared" si="1"/>
        <v>Approval Threshold</v>
      </c>
    </row>
    <row r="121">
      <c r="A121" s="18" t="s">
        <v>236</v>
      </c>
      <c r="B121" s="22">
        <v>99.0</v>
      </c>
      <c r="C121" s="9">
        <v>1.9164088E7</v>
      </c>
      <c r="D121" s="9">
        <v>1.0875744E7</v>
      </c>
      <c r="E121" s="10" t="str">
        <f>IF(C121&gt;percent,"YES","NO")</f>
        <v>NO</v>
      </c>
      <c r="F121" s="19">
        <v>100000.0</v>
      </c>
      <c r="G121" s="12" t="str">
        <f t="shared" si="2"/>
        <v>NOT FUNDED</v>
      </c>
      <c r="H121" s="20">
        <f t="shared" si="3"/>
        <v>513764</v>
      </c>
      <c r="I121" s="14" t="str">
        <f t="shared" si="1"/>
        <v>Approval Threshold</v>
      </c>
    </row>
    <row r="122">
      <c r="A122" s="18" t="s">
        <v>237</v>
      </c>
      <c r="B122" s="22">
        <v>144.0</v>
      </c>
      <c r="C122" s="9">
        <v>1.9122858E7</v>
      </c>
      <c r="D122" s="9">
        <v>6939606.0</v>
      </c>
      <c r="E122" s="10" t="str">
        <f>IF(C122&gt;percent,"YES","NO")</f>
        <v>NO</v>
      </c>
      <c r="F122" s="19">
        <v>96400.0</v>
      </c>
      <c r="G122" s="12" t="str">
        <f t="shared" si="2"/>
        <v>NOT FUNDED</v>
      </c>
      <c r="H122" s="20">
        <f t="shared" si="3"/>
        <v>513764</v>
      </c>
      <c r="I122" s="14" t="str">
        <f t="shared" si="1"/>
        <v>Approval Threshold</v>
      </c>
    </row>
    <row r="123">
      <c r="A123" s="18" t="s">
        <v>238</v>
      </c>
      <c r="B123" s="22">
        <v>95.0</v>
      </c>
      <c r="C123" s="9">
        <v>1.8938836E7</v>
      </c>
      <c r="D123" s="9">
        <v>6617406.0</v>
      </c>
      <c r="E123" s="10" t="str">
        <f>IF(C123&gt;percent,"YES","NO")</f>
        <v>NO</v>
      </c>
      <c r="F123" s="19">
        <v>96250.0</v>
      </c>
      <c r="G123" s="12" t="str">
        <f t="shared" si="2"/>
        <v>NOT FUNDED</v>
      </c>
      <c r="H123" s="20">
        <f t="shared" si="3"/>
        <v>513764</v>
      </c>
      <c r="I123" s="14" t="str">
        <f t="shared" si="1"/>
        <v>Approval Threshold</v>
      </c>
    </row>
    <row r="124">
      <c r="A124" s="18" t="s">
        <v>239</v>
      </c>
      <c r="B124" s="22">
        <v>98.0</v>
      </c>
      <c r="C124" s="9">
        <v>1.8688041E7</v>
      </c>
      <c r="D124" s="9">
        <v>1.0088146E7</v>
      </c>
      <c r="E124" s="10" t="str">
        <f>IF(C124&gt;percent,"YES","NO")</f>
        <v>NO</v>
      </c>
      <c r="F124" s="19">
        <v>100000.0</v>
      </c>
      <c r="G124" s="12" t="str">
        <f t="shared" si="2"/>
        <v>NOT FUNDED</v>
      </c>
      <c r="H124" s="20">
        <f t="shared" si="3"/>
        <v>513764</v>
      </c>
      <c r="I124" s="14" t="str">
        <f t="shared" si="1"/>
        <v>Approval Threshold</v>
      </c>
    </row>
    <row r="125">
      <c r="A125" s="18" t="s">
        <v>240</v>
      </c>
      <c r="B125" s="22">
        <v>95.0</v>
      </c>
      <c r="C125" s="9">
        <v>1.8384575E7</v>
      </c>
      <c r="D125" s="9">
        <v>2.6525017E7</v>
      </c>
      <c r="E125" s="10" t="str">
        <f>IF(C125&gt;percent,"YES","NO")</f>
        <v>NO</v>
      </c>
      <c r="F125" s="19">
        <v>100000.0</v>
      </c>
      <c r="G125" s="12" t="str">
        <f t="shared" si="2"/>
        <v>NOT FUNDED</v>
      </c>
      <c r="H125" s="20">
        <f t="shared" si="3"/>
        <v>513764</v>
      </c>
      <c r="I125" s="14" t="str">
        <f t="shared" si="1"/>
        <v>Approval Threshold</v>
      </c>
    </row>
    <row r="126">
      <c r="A126" s="18" t="s">
        <v>241</v>
      </c>
      <c r="B126" s="22">
        <v>107.0</v>
      </c>
      <c r="C126" s="9">
        <v>1.8149915E7</v>
      </c>
      <c r="D126" s="9">
        <v>7178263.0</v>
      </c>
      <c r="E126" s="10" t="str">
        <f>IF(C126&gt;percent,"YES","NO")</f>
        <v>NO</v>
      </c>
      <c r="F126" s="19">
        <v>85000.0</v>
      </c>
      <c r="G126" s="12" t="str">
        <f t="shared" si="2"/>
        <v>NOT FUNDED</v>
      </c>
      <c r="H126" s="20">
        <f t="shared" si="3"/>
        <v>513764</v>
      </c>
      <c r="I126" s="14" t="str">
        <f t="shared" si="1"/>
        <v>Approval Threshold</v>
      </c>
    </row>
    <row r="127">
      <c r="A127" s="18" t="s">
        <v>242</v>
      </c>
      <c r="B127" s="22">
        <v>124.0</v>
      </c>
      <c r="C127" s="9">
        <v>1.8066418E7</v>
      </c>
      <c r="D127" s="9">
        <v>6261413.0</v>
      </c>
      <c r="E127" s="10" t="str">
        <f>IF(C127&gt;percent,"YES","NO")</f>
        <v>NO</v>
      </c>
      <c r="F127" s="19">
        <v>90000.0</v>
      </c>
      <c r="G127" s="12" t="str">
        <f t="shared" si="2"/>
        <v>NOT FUNDED</v>
      </c>
      <c r="H127" s="20">
        <f t="shared" si="3"/>
        <v>513764</v>
      </c>
      <c r="I127" s="14" t="str">
        <f t="shared" si="1"/>
        <v>Approval Threshold</v>
      </c>
    </row>
    <row r="128">
      <c r="A128" s="18" t="s">
        <v>243</v>
      </c>
      <c r="B128" s="22">
        <v>142.0</v>
      </c>
      <c r="C128" s="9">
        <v>1.7802356E7</v>
      </c>
      <c r="D128" s="9">
        <v>2.1427483E7</v>
      </c>
      <c r="E128" s="10" t="str">
        <f>IF(C128&gt;percent,"YES","NO")</f>
        <v>NO</v>
      </c>
      <c r="F128" s="19">
        <v>60000.0</v>
      </c>
      <c r="G128" s="12" t="str">
        <f t="shared" si="2"/>
        <v>NOT FUNDED</v>
      </c>
      <c r="H128" s="20">
        <f t="shared" si="3"/>
        <v>513764</v>
      </c>
      <c r="I128" s="14" t="str">
        <f t="shared" si="1"/>
        <v>Approval Threshold</v>
      </c>
    </row>
    <row r="129">
      <c r="A129" s="18" t="s">
        <v>244</v>
      </c>
      <c r="B129" s="22">
        <v>128.0</v>
      </c>
      <c r="C129" s="9">
        <v>1.7765491E7</v>
      </c>
      <c r="D129" s="9">
        <v>5117335.0</v>
      </c>
      <c r="E129" s="10" t="str">
        <f>IF(C129&gt;percent,"YES","NO")</f>
        <v>NO</v>
      </c>
      <c r="F129" s="19">
        <v>15000.0</v>
      </c>
      <c r="G129" s="12" t="str">
        <f t="shared" si="2"/>
        <v>NOT FUNDED</v>
      </c>
      <c r="H129" s="20">
        <f t="shared" si="3"/>
        <v>513764</v>
      </c>
      <c r="I129" s="14" t="str">
        <f t="shared" si="1"/>
        <v>Approval Threshold</v>
      </c>
    </row>
    <row r="130">
      <c r="A130" s="18" t="s">
        <v>245</v>
      </c>
      <c r="B130" s="22">
        <v>88.0</v>
      </c>
      <c r="C130" s="9">
        <v>1.7698991E7</v>
      </c>
      <c r="D130" s="9">
        <v>1.6397716E7</v>
      </c>
      <c r="E130" s="10" t="str">
        <f>IF(C130&gt;percent,"YES","NO")</f>
        <v>NO</v>
      </c>
      <c r="F130" s="19">
        <v>100000.0</v>
      </c>
      <c r="G130" s="12" t="str">
        <f t="shared" si="2"/>
        <v>NOT FUNDED</v>
      </c>
      <c r="H130" s="20">
        <f t="shared" si="3"/>
        <v>513764</v>
      </c>
      <c r="I130" s="14" t="str">
        <f t="shared" si="1"/>
        <v>Approval Threshold</v>
      </c>
    </row>
    <row r="131">
      <c r="A131" s="18" t="s">
        <v>246</v>
      </c>
      <c r="B131" s="22">
        <v>159.0</v>
      </c>
      <c r="C131" s="9">
        <v>1.7474743E7</v>
      </c>
      <c r="D131" s="9">
        <v>1.1890957E7</v>
      </c>
      <c r="E131" s="10" t="str">
        <f>IF(C131&gt;percent,"YES","NO")</f>
        <v>NO</v>
      </c>
      <c r="F131" s="19">
        <v>100000.0</v>
      </c>
      <c r="G131" s="12" t="str">
        <f t="shared" si="2"/>
        <v>NOT FUNDED</v>
      </c>
      <c r="H131" s="20">
        <f t="shared" si="3"/>
        <v>513764</v>
      </c>
      <c r="I131" s="14" t="str">
        <f t="shared" si="1"/>
        <v>Approval Threshold</v>
      </c>
    </row>
    <row r="132">
      <c r="A132" s="18" t="s">
        <v>247</v>
      </c>
      <c r="B132" s="22">
        <v>89.0</v>
      </c>
      <c r="C132" s="9">
        <v>1.7069315E7</v>
      </c>
      <c r="D132" s="9">
        <v>1.0231614E7</v>
      </c>
      <c r="E132" s="10" t="str">
        <f>IF(C132&gt;percent,"YES","NO")</f>
        <v>NO</v>
      </c>
      <c r="F132" s="19">
        <v>100000.0</v>
      </c>
      <c r="G132" s="12" t="str">
        <f t="shared" si="2"/>
        <v>NOT FUNDED</v>
      </c>
      <c r="H132" s="20">
        <f t="shared" si="3"/>
        <v>513764</v>
      </c>
      <c r="I132" s="14" t="str">
        <f t="shared" si="1"/>
        <v>Approval Threshold</v>
      </c>
    </row>
    <row r="133">
      <c r="A133" s="18" t="s">
        <v>248</v>
      </c>
      <c r="B133" s="22">
        <v>214.0</v>
      </c>
      <c r="C133" s="9">
        <v>1.6996343E7</v>
      </c>
      <c r="D133" s="9">
        <v>7760113.0</v>
      </c>
      <c r="E133" s="10" t="str">
        <f>IF(C133&gt;percent,"YES","NO")</f>
        <v>NO</v>
      </c>
      <c r="F133" s="19">
        <v>69000.0</v>
      </c>
      <c r="G133" s="12" t="str">
        <f t="shared" si="2"/>
        <v>NOT FUNDED</v>
      </c>
      <c r="H133" s="20">
        <f t="shared" si="3"/>
        <v>513764</v>
      </c>
      <c r="I133" s="14" t="str">
        <f t="shared" si="1"/>
        <v>Approval Threshold</v>
      </c>
    </row>
    <row r="134">
      <c r="A134" s="18" t="s">
        <v>249</v>
      </c>
      <c r="B134" s="22">
        <v>93.0</v>
      </c>
      <c r="C134" s="9">
        <v>1.6907285E7</v>
      </c>
      <c r="D134" s="9">
        <v>1.0843462E7</v>
      </c>
      <c r="E134" s="10" t="str">
        <f>IF(C134&gt;percent,"YES","NO")</f>
        <v>NO</v>
      </c>
      <c r="F134" s="19">
        <v>100000.0</v>
      </c>
      <c r="G134" s="12" t="str">
        <f t="shared" si="2"/>
        <v>NOT FUNDED</v>
      </c>
      <c r="H134" s="20">
        <f t="shared" si="3"/>
        <v>513764</v>
      </c>
      <c r="I134" s="14" t="str">
        <f t="shared" si="1"/>
        <v>Approval Threshold</v>
      </c>
    </row>
    <row r="135">
      <c r="A135" s="18" t="s">
        <v>250</v>
      </c>
      <c r="B135" s="22">
        <v>89.0</v>
      </c>
      <c r="C135" s="9">
        <v>1.6864073E7</v>
      </c>
      <c r="D135" s="9">
        <v>6490989.0</v>
      </c>
      <c r="E135" s="10" t="str">
        <f>IF(C135&gt;percent,"YES","NO")</f>
        <v>NO</v>
      </c>
      <c r="F135" s="19">
        <v>90000.0</v>
      </c>
      <c r="G135" s="12" t="str">
        <f t="shared" si="2"/>
        <v>NOT FUNDED</v>
      </c>
      <c r="H135" s="20">
        <f t="shared" si="3"/>
        <v>513764</v>
      </c>
      <c r="I135" s="14" t="str">
        <f t="shared" si="1"/>
        <v>Approval Threshold</v>
      </c>
    </row>
    <row r="136">
      <c r="A136" s="18" t="s">
        <v>251</v>
      </c>
      <c r="B136" s="22">
        <v>90.0</v>
      </c>
      <c r="C136" s="9">
        <v>1.6860294E7</v>
      </c>
      <c r="D136" s="9">
        <v>2.3559957E7</v>
      </c>
      <c r="E136" s="10" t="str">
        <f>IF(C136&gt;percent,"YES","NO")</f>
        <v>NO</v>
      </c>
      <c r="F136" s="19">
        <v>75000.0</v>
      </c>
      <c r="G136" s="12" t="str">
        <f t="shared" si="2"/>
        <v>NOT FUNDED</v>
      </c>
      <c r="H136" s="20">
        <f t="shared" si="3"/>
        <v>513764</v>
      </c>
      <c r="I136" s="14" t="str">
        <f t="shared" si="1"/>
        <v>Approval Threshold</v>
      </c>
    </row>
    <row r="137">
      <c r="A137" s="18" t="s">
        <v>252</v>
      </c>
      <c r="B137" s="22">
        <v>88.0</v>
      </c>
      <c r="C137" s="9">
        <v>1.6787455E7</v>
      </c>
      <c r="D137" s="9">
        <v>2.7563398E7</v>
      </c>
      <c r="E137" s="10" t="str">
        <f>IF(C137&gt;percent,"YES","NO")</f>
        <v>NO</v>
      </c>
      <c r="F137" s="19">
        <v>100000.0</v>
      </c>
      <c r="G137" s="12" t="str">
        <f t="shared" si="2"/>
        <v>NOT FUNDED</v>
      </c>
      <c r="H137" s="20">
        <f t="shared" si="3"/>
        <v>513764</v>
      </c>
      <c r="I137" s="14" t="str">
        <f t="shared" si="1"/>
        <v>Approval Threshold</v>
      </c>
    </row>
    <row r="138">
      <c r="A138" s="18" t="s">
        <v>253</v>
      </c>
      <c r="B138" s="22">
        <v>97.0</v>
      </c>
      <c r="C138" s="9">
        <v>1.6689432E7</v>
      </c>
      <c r="D138" s="9">
        <v>7304022.0</v>
      </c>
      <c r="E138" s="10" t="str">
        <f>IF(C138&gt;percent,"YES","NO")</f>
        <v>NO</v>
      </c>
      <c r="F138" s="19">
        <v>95000.0</v>
      </c>
      <c r="G138" s="12" t="str">
        <f t="shared" si="2"/>
        <v>NOT FUNDED</v>
      </c>
      <c r="H138" s="20">
        <f t="shared" si="3"/>
        <v>513764</v>
      </c>
      <c r="I138" s="14" t="str">
        <f t="shared" si="1"/>
        <v>Approval Threshold</v>
      </c>
    </row>
    <row r="139">
      <c r="A139" s="18" t="s">
        <v>254</v>
      </c>
      <c r="B139" s="22">
        <v>97.0</v>
      </c>
      <c r="C139" s="9">
        <v>1.6567912E7</v>
      </c>
      <c r="D139" s="9">
        <v>2.2770612E7</v>
      </c>
      <c r="E139" s="10" t="str">
        <f>IF(C139&gt;percent,"YES","NO")</f>
        <v>NO</v>
      </c>
      <c r="F139" s="19">
        <v>99400.0</v>
      </c>
      <c r="G139" s="12" t="str">
        <f t="shared" si="2"/>
        <v>NOT FUNDED</v>
      </c>
      <c r="H139" s="20">
        <f t="shared" si="3"/>
        <v>513764</v>
      </c>
      <c r="I139" s="14" t="str">
        <f t="shared" si="1"/>
        <v>Approval Threshold</v>
      </c>
    </row>
    <row r="140">
      <c r="A140" s="18" t="s">
        <v>255</v>
      </c>
      <c r="B140" s="22">
        <v>93.0</v>
      </c>
      <c r="C140" s="9">
        <v>1.6517885E7</v>
      </c>
      <c r="D140" s="9">
        <v>7695326.0</v>
      </c>
      <c r="E140" s="10" t="str">
        <f>IF(C140&gt;percent,"YES","NO")</f>
        <v>NO</v>
      </c>
      <c r="F140" s="19">
        <v>93000.0</v>
      </c>
      <c r="G140" s="12" t="str">
        <f t="shared" si="2"/>
        <v>NOT FUNDED</v>
      </c>
      <c r="H140" s="20">
        <f t="shared" si="3"/>
        <v>513764</v>
      </c>
      <c r="I140" s="14" t="str">
        <f t="shared" si="1"/>
        <v>Approval Threshold</v>
      </c>
    </row>
    <row r="141">
      <c r="A141" s="18" t="s">
        <v>256</v>
      </c>
      <c r="B141" s="22">
        <v>88.0</v>
      </c>
      <c r="C141" s="9">
        <v>1.6336993E7</v>
      </c>
      <c r="D141" s="9">
        <v>1.0062663E7</v>
      </c>
      <c r="E141" s="10" t="str">
        <f>IF(C141&gt;percent,"YES","NO")</f>
        <v>NO</v>
      </c>
      <c r="F141" s="19">
        <v>100000.0</v>
      </c>
      <c r="G141" s="12" t="str">
        <f t="shared" si="2"/>
        <v>NOT FUNDED</v>
      </c>
      <c r="H141" s="20">
        <f t="shared" si="3"/>
        <v>513764</v>
      </c>
      <c r="I141" s="14" t="str">
        <f t="shared" si="1"/>
        <v>Approval Threshold</v>
      </c>
    </row>
    <row r="142">
      <c r="A142" s="18" t="s">
        <v>257</v>
      </c>
      <c r="B142" s="22">
        <v>82.0</v>
      </c>
      <c r="C142" s="9">
        <v>1.6312832E7</v>
      </c>
      <c r="D142" s="9">
        <v>2.3050068E7</v>
      </c>
      <c r="E142" s="10" t="str">
        <f>IF(C142&gt;percent,"YES","NO")</f>
        <v>NO</v>
      </c>
      <c r="F142" s="19">
        <v>99975.0</v>
      </c>
      <c r="G142" s="12" t="str">
        <f t="shared" si="2"/>
        <v>NOT FUNDED</v>
      </c>
      <c r="H142" s="20">
        <f t="shared" si="3"/>
        <v>513764</v>
      </c>
      <c r="I142" s="14" t="str">
        <f t="shared" si="1"/>
        <v>Approval Threshold</v>
      </c>
    </row>
    <row r="143">
      <c r="A143" s="18" t="s">
        <v>258</v>
      </c>
      <c r="B143" s="22">
        <v>118.0</v>
      </c>
      <c r="C143" s="9">
        <v>1.6088224E7</v>
      </c>
      <c r="D143" s="9">
        <v>1.362417E7</v>
      </c>
      <c r="E143" s="10" t="str">
        <f>IF(C143&gt;percent,"YES","NO")</f>
        <v>NO</v>
      </c>
      <c r="F143" s="19">
        <v>55000.0</v>
      </c>
      <c r="G143" s="12" t="str">
        <f t="shared" si="2"/>
        <v>NOT FUNDED</v>
      </c>
      <c r="H143" s="20">
        <f t="shared" si="3"/>
        <v>513764</v>
      </c>
      <c r="I143" s="14" t="str">
        <f t="shared" si="1"/>
        <v>Approval Threshold</v>
      </c>
    </row>
    <row r="144">
      <c r="A144" s="18" t="s">
        <v>259</v>
      </c>
      <c r="B144" s="22">
        <v>89.0</v>
      </c>
      <c r="C144" s="9">
        <v>1.5964531E7</v>
      </c>
      <c r="D144" s="9">
        <v>1.1835204E7</v>
      </c>
      <c r="E144" s="10" t="str">
        <f>IF(C144&gt;percent,"YES","NO")</f>
        <v>NO</v>
      </c>
      <c r="F144" s="19">
        <v>71000.0</v>
      </c>
      <c r="G144" s="12" t="str">
        <f t="shared" si="2"/>
        <v>NOT FUNDED</v>
      </c>
      <c r="H144" s="20">
        <f t="shared" si="3"/>
        <v>513764</v>
      </c>
      <c r="I144" s="14" t="str">
        <f t="shared" si="1"/>
        <v>Approval Threshold</v>
      </c>
    </row>
    <row r="145">
      <c r="A145" s="18" t="s">
        <v>260</v>
      </c>
      <c r="B145" s="22">
        <v>94.0</v>
      </c>
      <c r="C145" s="9">
        <v>1.5869124E7</v>
      </c>
      <c r="D145" s="9">
        <v>2.2351821E7</v>
      </c>
      <c r="E145" s="10" t="str">
        <f>IF(C145&gt;percent,"YES","NO")</f>
        <v>NO</v>
      </c>
      <c r="F145" s="19">
        <v>45000.0</v>
      </c>
      <c r="G145" s="12" t="str">
        <f t="shared" si="2"/>
        <v>NOT FUNDED</v>
      </c>
      <c r="H145" s="20">
        <f t="shared" si="3"/>
        <v>513764</v>
      </c>
      <c r="I145" s="14" t="str">
        <f t="shared" si="1"/>
        <v>Approval Threshold</v>
      </c>
    </row>
    <row r="146">
      <c r="A146" s="18" t="s">
        <v>261</v>
      </c>
      <c r="B146" s="22">
        <v>98.0</v>
      </c>
      <c r="C146" s="9">
        <v>1.5821451E7</v>
      </c>
      <c r="D146" s="9">
        <v>6421391.0</v>
      </c>
      <c r="E146" s="10" t="str">
        <f>IF(C146&gt;percent,"YES","NO")</f>
        <v>NO</v>
      </c>
      <c r="F146" s="19">
        <v>95000.0</v>
      </c>
      <c r="G146" s="12" t="str">
        <f t="shared" si="2"/>
        <v>NOT FUNDED</v>
      </c>
      <c r="H146" s="20">
        <f t="shared" si="3"/>
        <v>513764</v>
      </c>
      <c r="I146" s="14" t="str">
        <f t="shared" si="1"/>
        <v>Approval Threshold</v>
      </c>
    </row>
    <row r="147">
      <c r="A147" s="18" t="s">
        <v>262</v>
      </c>
      <c r="B147" s="22">
        <v>83.0</v>
      </c>
      <c r="C147" s="9">
        <v>1.5554244E7</v>
      </c>
      <c r="D147" s="9">
        <v>6236421.0</v>
      </c>
      <c r="E147" s="10" t="str">
        <f>IF(C147&gt;percent,"YES","NO")</f>
        <v>NO</v>
      </c>
      <c r="F147" s="19">
        <v>98500.0</v>
      </c>
      <c r="G147" s="12" t="str">
        <f t="shared" si="2"/>
        <v>NOT FUNDED</v>
      </c>
      <c r="H147" s="20">
        <f t="shared" si="3"/>
        <v>513764</v>
      </c>
      <c r="I147" s="14" t="str">
        <f t="shared" si="1"/>
        <v>Approval Threshold</v>
      </c>
    </row>
    <row r="148">
      <c r="A148" s="18" t="s">
        <v>263</v>
      </c>
      <c r="B148" s="22">
        <v>91.0</v>
      </c>
      <c r="C148" s="9">
        <v>1.5517601E7</v>
      </c>
      <c r="D148" s="9">
        <v>1.1216914E7</v>
      </c>
      <c r="E148" s="10" t="str">
        <f>IF(C148&gt;percent,"YES","NO")</f>
        <v>NO</v>
      </c>
      <c r="F148" s="19">
        <v>100000.0</v>
      </c>
      <c r="G148" s="12" t="str">
        <f t="shared" si="2"/>
        <v>NOT FUNDED</v>
      </c>
      <c r="H148" s="20">
        <f t="shared" si="3"/>
        <v>513764</v>
      </c>
      <c r="I148" s="14" t="str">
        <f t="shared" si="1"/>
        <v>Approval Threshold</v>
      </c>
    </row>
    <row r="149">
      <c r="A149" s="18" t="s">
        <v>264</v>
      </c>
      <c r="B149" s="22">
        <v>80.0</v>
      </c>
      <c r="C149" s="9">
        <v>1.5416431E7</v>
      </c>
      <c r="D149" s="9">
        <v>1.0876642E7</v>
      </c>
      <c r="E149" s="10" t="str">
        <f>IF(C149&gt;percent,"YES","NO")</f>
        <v>NO</v>
      </c>
      <c r="F149" s="19">
        <v>100000.0</v>
      </c>
      <c r="G149" s="12" t="str">
        <f t="shared" si="2"/>
        <v>NOT FUNDED</v>
      </c>
      <c r="H149" s="20">
        <f t="shared" si="3"/>
        <v>513764</v>
      </c>
      <c r="I149" s="14" t="str">
        <f t="shared" si="1"/>
        <v>Approval Threshold</v>
      </c>
    </row>
    <row r="150">
      <c r="A150" s="18" t="s">
        <v>265</v>
      </c>
      <c r="B150" s="22">
        <v>87.0</v>
      </c>
      <c r="C150" s="9">
        <v>1.522166E7</v>
      </c>
      <c r="D150" s="9">
        <v>7942514.0</v>
      </c>
      <c r="E150" s="10" t="str">
        <f>IF(C150&gt;percent,"YES","NO")</f>
        <v>NO</v>
      </c>
      <c r="F150" s="19">
        <v>98000.0</v>
      </c>
      <c r="G150" s="12" t="str">
        <f t="shared" si="2"/>
        <v>NOT FUNDED</v>
      </c>
      <c r="H150" s="20">
        <f t="shared" si="3"/>
        <v>513764</v>
      </c>
      <c r="I150" s="14" t="str">
        <f t="shared" si="1"/>
        <v>Approval Threshold</v>
      </c>
    </row>
    <row r="151">
      <c r="A151" s="18" t="s">
        <v>266</v>
      </c>
      <c r="B151" s="22">
        <v>81.0</v>
      </c>
      <c r="C151" s="9">
        <v>1.5205424E7</v>
      </c>
      <c r="D151" s="9">
        <v>5926406.0</v>
      </c>
      <c r="E151" s="10" t="str">
        <f>IF(C151&gt;percent,"YES","NO")</f>
        <v>NO</v>
      </c>
      <c r="F151" s="19">
        <v>99302.0</v>
      </c>
      <c r="G151" s="12" t="str">
        <f t="shared" si="2"/>
        <v>NOT FUNDED</v>
      </c>
      <c r="H151" s="20">
        <f t="shared" si="3"/>
        <v>513764</v>
      </c>
      <c r="I151" s="14" t="str">
        <f t="shared" si="1"/>
        <v>Approval Threshold</v>
      </c>
    </row>
    <row r="152">
      <c r="A152" s="18" t="s">
        <v>267</v>
      </c>
      <c r="B152" s="22">
        <v>134.0</v>
      </c>
      <c r="C152" s="9">
        <v>1.5185258E7</v>
      </c>
      <c r="D152" s="9">
        <v>1.1449218E7</v>
      </c>
      <c r="E152" s="10" t="str">
        <f>IF(C152&gt;percent,"YES","NO")</f>
        <v>NO</v>
      </c>
      <c r="F152" s="19">
        <v>100000.0</v>
      </c>
      <c r="G152" s="12" t="str">
        <f t="shared" si="2"/>
        <v>NOT FUNDED</v>
      </c>
      <c r="H152" s="20">
        <f t="shared" si="3"/>
        <v>513764</v>
      </c>
      <c r="I152" s="14" t="str">
        <f t="shared" si="1"/>
        <v>Approval Threshold</v>
      </c>
    </row>
    <row r="153">
      <c r="A153" s="18" t="s">
        <v>268</v>
      </c>
      <c r="B153" s="22">
        <v>91.0</v>
      </c>
      <c r="C153" s="9">
        <v>1.5170273E7</v>
      </c>
      <c r="D153" s="9">
        <v>1.0288529E7</v>
      </c>
      <c r="E153" s="10" t="str">
        <f>IF(C153&gt;percent,"YES","NO")</f>
        <v>NO</v>
      </c>
      <c r="F153" s="19">
        <v>78000.0</v>
      </c>
      <c r="G153" s="12" t="str">
        <f t="shared" si="2"/>
        <v>NOT FUNDED</v>
      </c>
      <c r="H153" s="20">
        <f t="shared" si="3"/>
        <v>513764</v>
      </c>
      <c r="I153" s="14" t="str">
        <f t="shared" si="1"/>
        <v>Approval Threshold</v>
      </c>
    </row>
    <row r="154">
      <c r="A154" s="18" t="s">
        <v>269</v>
      </c>
      <c r="B154" s="22">
        <v>84.0</v>
      </c>
      <c r="C154" s="9">
        <v>1.5166729E7</v>
      </c>
      <c r="D154" s="9">
        <v>1.1064158E7</v>
      </c>
      <c r="E154" s="10" t="str">
        <f>IF(C154&gt;percent,"YES","NO")</f>
        <v>NO</v>
      </c>
      <c r="F154" s="19">
        <v>100000.0</v>
      </c>
      <c r="G154" s="12" t="str">
        <f t="shared" si="2"/>
        <v>NOT FUNDED</v>
      </c>
      <c r="H154" s="20">
        <f t="shared" si="3"/>
        <v>513764</v>
      </c>
      <c r="I154" s="14" t="str">
        <f t="shared" si="1"/>
        <v>Approval Threshold</v>
      </c>
    </row>
    <row r="155">
      <c r="A155" s="18" t="s">
        <v>270</v>
      </c>
      <c r="B155" s="22">
        <v>80.0</v>
      </c>
      <c r="C155" s="9">
        <v>1.5156859E7</v>
      </c>
      <c r="D155" s="9">
        <v>1.1787404E7</v>
      </c>
      <c r="E155" s="10" t="str">
        <f>IF(C155&gt;percent,"YES","NO")</f>
        <v>NO</v>
      </c>
      <c r="F155" s="19">
        <v>100000.0</v>
      </c>
      <c r="G155" s="12" t="str">
        <f t="shared" si="2"/>
        <v>NOT FUNDED</v>
      </c>
      <c r="H155" s="20">
        <f t="shared" si="3"/>
        <v>513764</v>
      </c>
      <c r="I155" s="14" t="str">
        <f t="shared" si="1"/>
        <v>Approval Threshold</v>
      </c>
    </row>
    <row r="156">
      <c r="A156" s="18" t="s">
        <v>271</v>
      </c>
      <c r="B156" s="22">
        <v>82.0</v>
      </c>
      <c r="C156" s="9">
        <v>1.5040108E7</v>
      </c>
      <c r="D156" s="9">
        <v>1.0374655E7</v>
      </c>
      <c r="E156" s="10" t="str">
        <f>IF(C156&gt;percent,"YES","NO")</f>
        <v>NO</v>
      </c>
      <c r="F156" s="19">
        <v>100000.0</v>
      </c>
      <c r="G156" s="12" t="str">
        <f t="shared" si="2"/>
        <v>NOT FUNDED</v>
      </c>
      <c r="H156" s="20">
        <f t="shared" si="3"/>
        <v>513764</v>
      </c>
      <c r="I156" s="14" t="str">
        <f t="shared" si="1"/>
        <v>Approval Threshold</v>
      </c>
    </row>
    <row r="157">
      <c r="A157" s="18" t="s">
        <v>272</v>
      </c>
      <c r="B157" s="22">
        <v>92.0</v>
      </c>
      <c r="C157" s="9">
        <v>1.5003937E7</v>
      </c>
      <c r="D157" s="9">
        <v>1.104831E7</v>
      </c>
      <c r="E157" s="10" t="str">
        <f>IF(C157&gt;percent,"YES","NO")</f>
        <v>NO</v>
      </c>
      <c r="F157" s="19">
        <v>100000.0</v>
      </c>
      <c r="G157" s="12" t="str">
        <f t="shared" si="2"/>
        <v>NOT FUNDED</v>
      </c>
      <c r="H157" s="20">
        <f t="shared" si="3"/>
        <v>513764</v>
      </c>
      <c r="I157" s="14" t="str">
        <f t="shared" si="1"/>
        <v>Approval Threshold</v>
      </c>
    </row>
    <row r="158">
      <c r="A158" s="18" t="s">
        <v>273</v>
      </c>
      <c r="B158" s="22">
        <v>101.0</v>
      </c>
      <c r="C158" s="9">
        <v>1.498422E7</v>
      </c>
      <c r="D158" s="9">
        <v>6056634.0</v>
      </c>
      <c r="E158" s="10" t="str">
        <f>IF(C158&gt;percent,"YES","NO")</f>
        <v>NO</v>
      </c>
      <c r="F158" s="19">
        <v>50000.0</v>
      </c>
      <c r="G158" s="12" t="str">
        <f t="shared" si="2"/>
        <v>NOT FUNDED</v>
      </c>
      <c r="H158" s="20">
        <f t="shared" si="3"/>
        <v>513764</v>
      </c>
      <c r="I158" s="14" t="str">
        <f t="shared" si="1"/>
        <v>Approval Threshold</v>
      </c>
    </row>
    <row r="159">
      <c r="A159" s="18" t="s">
        <v>274</v>
      </c>
      <c r="B159" s="22">
        <v>95.0</v>
      </c>
      <c r="C159" s="9">
        <v>1.4962391E7</v>
      </c>
      <c r="D159" s="9">
        <v>2.82493E7</v>
      </c>
      <c r="E159" s="10" t="str">
        <f>IF(C159&gt;percent,"YES","NO")</f>
        <v>NO</v>
      </c>
      <c r="F159" s="19">
        <v>100000.0</v>
      </c>
      <c r="G159" s="12" t="str">
        <f t="shared" si="2"/>
        <v>NOT FUNDED</v>
      </c>
      <c r="H159" s="20">
        <f t="shared" si="3"/>
        <v>513764</v>
      </c>
      <c r="I159" s="14" t="str">
        <f t="shared" si="1"/>
        <v>Approval Threshold</v>
      </c>
    </row>
    <row r="160">
      <c r="A160" s="18" t="s">
        <v>275</v>
      </c>
      <c r="B160" s="22">
        <v>111.0</v>
      </c>
      <c r="C160" s="9">
        <v>1.4871224E7</v>
      </c>
      <c r="D160" s="9">
        <v>9433382.0</v>
      </c>
      <c r="E160" s="10" t="str">
        <f>IF(C160&gt;percent,"YES","NO")</f>
        <v>NO</v>
      </c>
      <c r="F160" s="19">
        <v>29000.0</v>
      </c>
      <c r="G160" s="12" t="str">
        <f t="shared" si="2"/>
        <v>NOT FUNDED</v>
      </c>
      <c r="H160" s="20">
        <f t="shared" si="3"/>
        <v>513764</v>
      </c>
      <c r="I160" s="14" t="str">
        <f t="shared" si="1"/>
        <v>Approval Threshold</v>
      </c>
    </row>
    <row r="161">
      <c r="A161" s="18" t="s">
        <v>276</v>
      </c>
      <c r="B161" s="22">
        <v>139.0</v>
      </c>
      <c r="C161" s="9">
        <v>1.4834023E7</v>
      </c>
      <c r="D161" s="9">
        <v>1.1243735E7</v>
      </c>
      <c r="E161" s="10" t="str">
        <f>IF(C161&gt;percent,"YES","NO")</f>
        <v>NO</v>
      </c>
      <c r="F161" s="19">
        <v>100000.0</v>
      </c>
      <c r="G161" s="12" t="str">
        <f t="shared" si="2"/>
        <v>NOT FUNDED</v>
      </c>
      <c r="H161" s="20">
        <f t="shared" si="3"/>
        <v>513764</v>
      </c>
      <c r="I161" s="14" t="str">
        <f t="shared" si="1"/>
        <v>Approval Threshold</v>
      </c>
    </row>
    <row r="162">
      <c r="A162" s="18" t="s">
        <v>277</v>
      </c>
      <c r="B162" s="22">
        <v>150.0</v>
      </c>
      <c r="C162" s="9">
        <v>1.4822789E7</v>
      </c>
      <c r="D162" s="9">
        <v>6307355.0</v>
      </c>
      <c r="E162" s="10" t="str">
        <f>IF(C162&gt;percent,"YES","NO")</f>
        <v>NO</v>
      </c>
      <c r="F162" s="19">
        <v>83765.0</v>
      </c>
      <c r="G162" s="12" t="str">
        <f t="shared" si="2"/>
        <v>NOT FUNDED</v>
      </c>
      <c r="H162" s="20">
        <f t="shared" si="3"/>
        <v>513764</v>
      </c>
      <c r="I162" s="14" t="str">
        <f t="shared" si="1"/>
        <v>Approval Threshold</v>
      </c>
    </row>
    <row r="163">
      <c r="A163" s="18" t="s">
        <v>278</v>
      </c>
      <c r="B163" s="22">
        <v>82.0</v>
      </c>
      <c r="C163" s="9">
        <v>1.4802555E7</v>
      </c>
      <c r="D163" s="9">
        <v>2.6998077E7</v>
      </c>
      <c r="E163" s="10" t="str">
        <f>IF(C163&gt;percent,"YES","NO")</f>
        <v>NO</v>
      </c>
      <c r="F163" s="19">
        <v>100000.0</v>
      </c>
      <c r="G163" s="12" t="str">
        <f t="shared" si="2"/>
        <v>NOT FUNDED</v>
      </c>
      <c r="H163" s="20">
        <f t="shared" si="3"/>
        <v>513764</v>
      </c>
      <c r="I163" s="14" t="str">
        <f t="shared" si="1"/>
        <v>Approval Threshold</v>
      </c>
    </row>
    <row r="164">
      <c r="A164" s="18" t="s">
        <v>279</v>
      </c>
      <c r="B164" s="22">
        <v>109.0</v>
      </c>
      <c r="C164" s="9">
        <v>1.4796522E7</v>
      </c>
      <c r="D164" s="9">
        <v>6868757.0</v>
      </c>
      <c r="E164" s="10" t="str">
        <f>IF(C164&gt;percent,"YES","NO")</f>
        <v>NO</v>
      </c>
      <c r="F164" s="19">
        <v>50000.0</v>
      </c>
      <c r="G164" s="12" t="str">
        <f t="shared" si="2"/>
        <v>NOT FUNDED</v>
      </c>
      <c r="H164" s="20">
        <f t="shared" si="3"/>
        <v>513764</v>
      </c>
      <c r="I164" s="14" t="str">
        <f t="shared" si="1"/>
        <v>Approval Threshold</v>
      </c>
    </row>
    <row r="165">
      <c r="A165" s="18" t="s">
        <v>280</v>
      </c>
      <c r="B165" s="22">
        <v>115.0</v>
      </c>
      <c r="C165" s="9">
        <v>1.4783847E7</v>
      </c>
      <c r="D165" s="9">
        <v>7288954.0</v>
      </c>
      <c r="E165" s="10" t="str">
        <f>IF(C165&gt;percent,"YES","NO")</f>
        <v>NO</v>
      </c>
      <c r="F165" s="19">
        <v>72000.0</v>
      </c>
      <c r="G165" s="12" t="str">
        <f t="shared" si="2"/>
        <v>NOT FUNDED</v>
      </c>
      <c r="H165" s="20">
        <f t="shared" si="3"/>
        <v>513764</v>
      </c>
      <c r="I165" s="14" t="str">
        <f t="shared" si="1"/>
        <v>Approval Threshold</v>
      </c>
    </row>
    <row r="166">
      <c r="A166" s="18" t="s">
        <v>281</v>
      </c>
      <c r="B166" s="22">
        <v>91.0</v>
      </c>
      <c r="C166" s="9">
        <v>1.4613962E7</v>
      </c>
      <c r="D166" s="9">
        <v>1.4864983E7</v>
      </c>
      <c r="E166" s="10" t="str">
        <f>IF(C166&gt;percent,"YES","NO")</f>
        <v>NO</v>
      </c>
      <c r="F166" s="19">
        <v>100000.0</v>
      </c>
      <c r="G166" s="12" t="str">
        <f t="shared" si="2"/>
        <v>NOT FUNDED</v>
      </c>
      <c r="H166" s="20">
        <f t="shared" si="3"/>
        <v>513764</v>
      </c>
      <c r="I166" s="14" t="str">
        <f t="shared" si="1"/>
        <v>Approval Threshold</v>
      </c>
    </row>
    <row r="167">
      <c r="A167" s="18" t="s">
        <v>282</v>
      </c>
      <c r="B167" s="22">
        <v>78.0</v>
      </c>
      <c r="C167" s="9">
        <v>1.4290356E7</v>
      </c>
      <c r="D167" s="9">
        <v>1.1796657E7</v>
      </c>
      <c r="E167" s="10" t="str">
        <f>IF(C167&gt;percent,"YES","NO")</f>
        <v>NO</v>
      </c>
      <c r="F167" s="19">
        <v>100000.0</v>
      </c>
      <c r="G167" s="12" t="str">
        <f t="shared" si="2"/>
        <v>NOT FUNDED</v>
      </c>
      <c r="H167" s="20">
        <f t="shared" si="3"/>
        <v>513764</v>
      </c>
      <c r="I167" s="14" t="str">
        <f t="shared" si="1"/>
        <v>Approval Threshold</v>
      </c>
    </row>
    <row r="168">
      <c r="A168" s="18" t="s">
        <v>283</v>
      </c>
      <c r="B168" s="22">
        <v>136.0</v>
      </c>
      <c r="C168" s="9">
        <v>1.4236764E7</v>
      </c>
      <c r="D168" s="9">
        <v>1.4048887E7</v>
      </c>
      <c r="E168" s="10" t="str">
        <f>IF(C168&gt;percent,"YES","NO")</f>
        <v>NO</v>
      </c>
      <c r="F168" s="19">
        <v>100000.0</v>
      </c>
      <c r="G168" s="12" t="str">
        <f t="shared" si="2"/>
        <v>NOT FUNDED</v>
      </c>
      <c r="H168" s="20">
        <f t="shared" si="3"/>
        <v>513764</v>
      </c>
      <c r="I168" s="14" t="str">
        <f t="shared" si="1"/>
        <v>Approval Threshold</v>
      </c>
    </row>
    <row r="169">
      <c r="A169" s="18" t="s">
        <v>284</v>
      </c>
      <c r="B169" s="22">
        <v>113.0</v>
      </c>
      <c r="C169" s="9">
        <v>1.4028281E7</v>
      </c>
      <c r="D169" s="9">
        <v>1.2076924E7</v>
      </c>
      <c r="E169" s="10" t="str">
        <f>IF(C169&gt;percent,"YES","NO")</f>
        <v>NO</v>
      </c>
      <c r="F169" s="19">
        <v>15000.0</v>
      </c>
      <c r="G169" s="12" t="str">
        <f t="shared" si="2"/>
        <v>NOT FUNDED</v>
      </c>
      <c r="H169" s="20">
        <f t="shared" si="3"/>
        <v>513764</v>
      </c>
      <c r="I169" s="14" t="str">
        <f t="shared" si="1"/>
        <v>Approval Threshold</v>
      </c>
    </row>
    <row r="170">
      <c r="A170" s="18" t="s">
        <v>285</v>
      </c>
      <c r="B170" s="22">
        <v>88.0</v>
      </c>
      <c r="C170" s="9">
        <v>1.3912586E7</v>
      </c>
      <c r="D170" s="9">
        <v>8469967.0</v>
      </c>
      <c r="E170" s="10" t="str">
        <f>IF(C170&gt;percent,"YES","NO")</f>
        <v>NO</v>
      </c>
      <c r="F170" s="19">
        <v>98000.0</v>
      </c>
      <c r="G170" s="12" t="str">
        <f t="shared" si="2"/>
        <v>NOT FUNDED</v>
      </c>
      <c r="H170" s="20">
        <f t="shared" si="3"/>
        <v>513764</v>
      </c>
      <c r="I170" s="14" t="str">
        <f t="shared" si="1"/>
        <v>Approval Threshold</v>
      </c>
    </row>
    <row r="171">
      <c r="A171" s="18" t="s">
        <v>286</v>
      </c>
      <c r="B171" s="22">
        <v>131.0</v>
      </c>
      <c r="C171" s="9">
        <v>1.3826728E7</v>
      </c>
      <c r="D171" s="9">
        <v>9900995.0</v>
      </c>
      <c r="E171" s="10" t="str">
        <f>IF(C171&gt;percent,"YES","NO")</f>
        <v>NO</v>
      </c>
      <c r="F171" s="19">
        <v>48947.0</v>
      </c>
      <c r="G171" s="12" t="str">
        <f t="shared" si="2"/>
        <v>NOT FUNDED</v>
      </c>
      <c r="H171" s="20">
        <f t="shared" si="3"/>
        <v>513764</v>
      </c>
      <c r="I171" s="14" t="str">
        <f t="shared" si="1"/>
        <v>Approval Threshold</v>
      </c>
    </row>
    <row r="172">
      <c r="A172" s="18" t="s">
        <v>287</v>
      </c>
      <c r="B172" s="22">
        <v>183.0</v>
      </c>
      <c r="C172" s="9">
        <v>1.3632153E7</v>
      </c>
      <c r="D172" s="9">
        <v>8071541.0</v>
      </c>
      <c r="E172" s="10" t="str">
        <f>IF(C172&gt;percent,"YES","NO")</f>
        <v>NO</v>
      </c>
      <c r="F172" s="19">
        <v>72000.0</v>
      </c>
      <c r="G172" s="12" t="str">
        <f t="shared" si="2"/>
        <v>NOT FUNDED</v>
      </c>
      <c r="H172" s="20">
        <f t="shared" si="3"/>
        <v>513764</v>
      </c>
      <c r="I172" s="14" t="str">
        <f t="shared" si="1"/>
        <v>Approval Threshold</v>
      </c>
    </row>
    <row r="173">
      <c r="A173" s="18" t="s">
        <v>288</v>
      </c>
      <c r="B173" s="22">
        <v>86.0</v>
      </c>
      <c r="C173" s="9">
        <v>1.3570438E7</v>
      </c>
      <c r="D173" s="9">
        <v>8558253.0</v>
      </c>
      <c r="E173" s="10" t="str">
        <f>IF(C173&gt;percent,"YES","NO")</f>
        <v>NO</v>
      </c>
      <c r="F173" s="19">
        <v>90000.0</v>
      </c>
      <c r="G173" s="12" t="str">
        <f t="shared" si="2"/>
        <v>NOT FUNDED</v>
      </c>
      <c r="H173" s="20">
        <f t="shared" si="3"/>
        <v>513764</v>
      </c>
      <c r="I173" s="14" t="str">
        <f t="shared" si="1"/>
        <v>Approval Threshold</v>
      </c>
    </row>
    <row r="174">
      <c r="A174" s="18" t="s">
        <v>289</v>
      </c>
      <c r="B174" s="22">
        <v>96.0</v>
      </c>
      <c r="C174" s="9">
        <v>1.3536697E7</v>
      </c>
      <c r="D174" s="9">
        <v>7677493.0</v>
      </c>
      <c r="E174" s="10" t="str">
        <f>IF(C174&gt;percent,"YES","NO")</f>
        <v>NO</v>
      </c>
      <c r="F174" s="19">
        <v>60000.0</v>
      </c>
      <c r="G174" s="12" t="str">
        <f t="shared" si="2"/>
        <v>NOT FUNDED</v>
      </c>
      <c r="H174" s="20">
        <f t="shared" si="3"/>
        <v>513764</v>
      </c>
      <c r="I174" s="14" t="str">
        <f t="shared" si="1"/>
        <v>Approval Threshold</v>
      </c>
    </row>
    <row r="175">
      <c r="A175" s="18" t="s">
        <v>290</v>
      </c>
      <c r="B175" s="22">
        <v>93.0</v>
      </c>
      <c r="C175" s="9">
        <v>1.3490106E7</v>
      </c>
      <c r="D175" s="9">
        <v>8456467.0</v>
      </c>
      <c r="E175" s="10" t="str">
        <f>IF(C175&gt;percent,"YES","NO")</f>
        <v>NO</v>
      </c>
      <c r="F175" s="19">
        <v>80000.0</v>
      </c>
      <c r="G175" s="12" t="str">
        <f t="shared" si="2"/>
        <v>NOT FUNDED</v>
      </c>
      <c r="H175" s="20">
        <f t="shared" si="3"/>
        <v>513764</v>
      </c>
      <c r="I175" s="14" t="str">
        <f t="shared" si="1"/>
        <v>Approval Threshold</v>
      </c>
    </row>
    <row r="176">
      <c r="A176" s="18" t="s">
        <v>291</v>
      </c>
      <c r="B176" s="22">
        <v>110.0</v>
      </c>
      <c r="C176" s="9">
        <v>1.3470875E7</v>
      </c>
      <c r="D176" s="9">
        <v>3799721.0</v>
      </c>
      <c r="E176" s="10" t="str">
        <f>IF(C176&gt;percent,"YES","NO")</f>
        <v>NO</v>
      </c>
      <c r="F176" s="19">
        <v>75000.0</v>
      </c>
      <c r="G176" s="12" t="str">
        <f t="shared" si="2"/>
        <v>NOT FUNDED</v>
      </c>
      <c r="H176" s="20">
        <f t="shared" si="3"/>
        <v>513764</v>
      </c>
      <c r="I176" s="14" t="str">
        <f t="shared" si="1"/>
        <v>Approval Threshold</v>
      </c>
    </row>
    <row r="177">
      <c r="A177" s="18" t="s">
        <v>292</v>
      </c>
      <c r="B177" s="22">
        <v>87.0</v>
      </c>
      <c r="C177" s="9">
        <v>1.3424907E7</v>
      </c>
      <c r="D177" s="9">
        <v>1.0993928E7</v>
      </c>
      <c r="E177" s="10" t="str">
        <f>IF(C177&gt;percent,"YES","NO")</f>
        <v>NO</v>
      </c>
      <c r="F177" s="19">
        <v>95000.0</v>
      </c>
      <c r="G177" s="12" t="str">
        <f t="shared" si="2"/>
        <v>NOT FUNDED</v>
      </c>
      <c r="H177" s="20">
        <f t="shared" si="3"/>
        <v>513764</v>
      </c>
      <c r="I177" s="14" t="str">
        <f t="shared" si="1"/>
        <v>Approval Threshold</v>
      </c>
    </row>
    <row r="178">
      <c r="A178" s="18" t="s">
        <v>293</v>
      </c>
      <c r="B178" s="22">
        <v>104.0</v>
      </c>
      <c r="C178" s="9">
        <v>1.3401346E7</v>
      </c>
      <c r="D178" s="9">
        <v>4574726.0</v>
      </c>
      <c r="E178" s="10" t="str">
        <f>IF(C178&gt;percent,"YES","NO")</f>
        <v>NO</v>
      </c>
      <c r="F178" s="19">
        <v>73500.0</v>
      </c>
      <c r="G178" s="12" t="str">
        <f t="shared" si="2"/>
        <v>NOT FUNDED</v>
      </c>
      <c r="H178" s="20">
        <f t="shared" si="3"/>
        <v>513764</v>
      </c>
      <c r="I178" s="14" t="str">
        <f t="shared" si="1"/>
        <v>Approval Threshold</v>
      </c>
    </row>
    <row r="179">
      <c r="A179" s="18" t="s">
        <v>294</v>
      </c>
      <c r="B179" s="22">
        <v>94.0</v>
      </c>
      <c r="C179" s="9">
        <v>1.3288769E7</v>
      </c>
      <c r="D179" s="9">
        <v>1.4086851E7</v>
      </c>
      <c r="E179" s="10" t="str">
        <f>IF(C179&gt;percent,"YES","NO")</f>
        <v>NO</v>
      </c>
      <c r="F179" s="19">
        <v>100000.0</v>
      </c>
      <c r="G179" s="12" t="str">
        <f t="shared" si="2"/>
        <v>NOT FUNDED</v>
      </c>
      <c r="H179" s="20">
        <f t="shared" si="3"/>
        <v>513764</v>
      </c>
      <c r="I179" s="14" t="str">
        <f t="shared" si="1"/>
        <v>Approval Threshold</v>
      </c>
    </row>
    <row r="180">
      <c r="A180" s="18" t="s">
        <v>295</v>
      </c>
      <c r="B180" s="22">
        <v>106.0</v>
      </c>
      <c r="C180" s="9">
        <v>1.3288678E7</v>
      </c>
      <c r="D180" s="9">
        <v>5345531.0</v>
      </c>
      <c r="E180" s="10" t="str">
        <f>IF(C180&gt;percent,"YES","NO")</f>
        <v>NO</v>
      </c>
      <c r="F180" s="19">
        <v>33000.0</v>
      </c>
      <c r="G180" s="12" t="str">
        <f t="shared" si="2"/>
        <v>NOT FUNDED</v>
      </c>
      <c r="H180" s="20">
        <f t="shared" si="3"/>
        <v>513764</v>
      </c>
      <c r="I180" s="14" t="str">
        <f t="shared" si="1"/>
        <v>Approval Threshold</v>
      </c>
    </row>
    <row r="181">
      <c r="A181" s="18" t="s">
        <v>296</v>
      </c>
      <c r="B181" s="22">
        <v>133.0</v>
      </c>
      <c r="C181" s="9">
        <v>1.3248186E7</v>
      </c>
      <c r="D181" s="9">
        <v>3521756.0</v>
      </c>
      <c r="E181" s="10" t="str">
        <f>IF(C181&gt;percent,"YES","NO")</f>
        <v>NO</v>
      </c>
      <c r="F181" s="19">
        <v>52000.0</v>
      </c>
      <c r="G181" s="12" t="str">
        <f t="shared" si="2"/>
        <v>NOT FUNDED</v>
      </c>
      <c r="H181" s="20">
        <f t="shared" si="3"/>
        <v>513764</v>
      </c>
      <c r="I181" s="14" t="str">
        <f t="shared" si="1"/>
        <v>Approval Threshold</v>
      </c>
    </row>
    <row r="182">
      <c r="A182" s="18" t="s">
        <v>297</v>
      </c>
      <c r="B182" s="22">
        <v>149.0</v>
      </c>
      <c r="C182" s="9">
        <v>1.3127887E7</v>
      </c>
      <c r="D182" s="9">
        <v>2.5329523E7</v>
      </c>
      <c r="E182" s="10" t="str">
        <f>IF(C182&gt;percent,"YES","NO")</f>
        <v>NO</v>
      </c>
      <c r="F182" s="19">
        <v>100000.0</v>
      </c>
      <c r="G182" s="12" t="str">
        <f t="shared" si="2"/>
        <v>NOT FUNDED</v>
      </c>
      <c r="H182" s="20">
        <f t="shared" si="3"/>
        <v>513764</v>
      </c>
      <c r="I182" s="14" t="str">
        <f t="shared" si="1"/>
        <v>Approval Threshold</v>
      </c>
    </row>
    <row r="183">
      <c r="A183" s="18" t="s">
        <v>298</v>
      </c>
      <c r="B183" s="22">
        <v>123.0</v>
      </c>
      <c r="C183" s="9">
        <v>1.307541E7</v>
      </c>
      <c r="D183" s="9">
        <v>1.0365078E7</v>
      </c>
      <c r="E183" s="10" t="str">
        <f>IF(C183&gt;percent,"YES","NO")</f>
        <v>NO</v>
      </c>
      <c r="F183" s="19">
        <v>100000.0</v>
      </c>
      <c r="G183" s="12" t="str">
        <f t="shared" si="2"/>
        <v>NOT FUNDED</v>
      </c>
      <c r="H183" s="20">
        <f t="shared" si="3"/>
        <v>513764</v>
      </c>
      <c r="I183" s="14" t="str">
        <f t="shared" si="1"/>
        <v>Approval Threshold</v>
      </c>
    </row>
    <row r="184">
      <c r="A184" s="18" t="s">
        <v>299</v>
      </c>
      <c r="B184" s="22">
        <v>98.0</v>
      </c>
      <c r="C184" s="9">
        <v>1.3047658E7</v>
      </c>
      <c r="D184" s="9">
        <v>1.7402098E7</v>
      </c>
      <c r="E184" s="10" t="str">
        <f>IF(C184&gt;percent,"YES","NO")</f>
        <v>NO</v>
      </c>
      <c r="F184" s="19">
        <v>100000.0</v>
      </c>
      <c r="G184" s="12" t="str">
        <f t="shared" si="2"/>
        <v>NOT FUNDED</v>
      </c>
      <c r="H184" s="20">
        <f t="shared" si="3"/>
        <v>513764</v>
      </c>
      <c r="I184" s="14" t="str">
        <f t="shared" si="1"/>
        <v>Approval Threshold</v>
      </c>
    </row>
    <row r="185">
      <c r="A185" s="18" t="s">
        <v>300</v>
      </c>
      <c r="B185" s="22">
        <v>150.0</v>
      </c>
      <c r="C185" s="9">
        <v>1.3013503E7</v>
      </c>
      <c r="D185" s="9">
        <v>2.6194363E7</v>
      </c>
      <c r="E185" s="10" t="str">
        <f>IF(C185&gt;percent,"YES","NO")</f>
        <v>NO</v>
      </c>
      <c r="F185" s="19">
        <v>100000.0</v>
      </c>
      <c r="G185" s="12" t="str">
        <f t="shared" si="2"/>
        <v>NOT FUNDED</v>
      </c>
      <c r="H185" s="20">
        <f t="shared" si="3"/>
        <v>513764</v>
      </c>
      <c r="I185" s="14" t="str">
        <f t="shared" si="1"/>
        <v>Approval Threshold</v>
      </c>
    </row>
    <row r="186">
      <c r="A186" s="18" t="s">
        <v>301</v>
      </c>
      <c r="B186" s="22">
        <v>141.0</v>
      </c>
      <c r="C186" s="9">
        <v>1.2900762E7</v>
      </c>
      <c r="D186" s="9">
        <v>1.1110925E7</v>
      </c>
      <c r="E186" s="10" t="str">
        <f>IF(C186&gt;percent,"YES","NO")</f>
        <v>NO</v>
      </c>
      <c r="F186" s="19">
        <v>100000.0</v>
      </c>
      <c r="G186" s="12" t="str">
        <f t="shared" si="2"/>
        <v>NOT FUNDED</v>
      </c>
      <c r="H186" s="20">
        <f t="shared" si="3"/>
        <v>513764</v>
      </c>
      <c r="I186" s="14" t="str">
        <f t="shared" si="1"/>
        <v>Approval Threshold</v>
      </c>
    </row>
    <row r="187">
      <c r="A187" s="18" t="s">
        <v>302</v>
      </c>
      <c r="B187" s="22">
        <v>105.0</v>
      </c>
      <c r="C187" s="9">
        <v>1.2844132E7</v>
      </c>
      <c r="D187" s="9">
        <v>6422680.0</v>
      </c>
      <c r="E187" s="10" t="str">
        <f>IF(C187&gt;percent,"YES","NO")</f>
        <v>NO</v>
      </c>
      <c r="F187" s="19">
        <v>52000.0</v>
      </c>
      <c r="G187" s="12" t="str">
        <f t="shared" si="2"/>
        <v>NOT FUNDED</v>
      </c>
      <c r="H187" s="20">
        <f t="shared" si="3"/>
        <v>513764</v>
      </c>
      <c r="I187" s="14" t="str">
        <f t="shared" si="1"/>
        <v>Approval Threshold</v>
      </c>
    </row>
    <row r="188">
      <c r="A188" s="18" t="s">
        <v>303</v>
      </c>
      <c r="B188" s="22">
        <v>83.0</v>
      </c>
      <c r="C188" s="9">
        <v>1.2769677E7</v>
      </c>
      <c r="D188" s="9">
        <v>1.2666013E7</v>
      </c>
      <c r="E188" s="10" t="str">
        <f>IF(C188&gt;percent,"YES","NO")</f>
        <v>NO</v>
      </c>
      <c r="F188" s="19">
        <v>93000.0</v>
      </c>
      <c r="G188" s="12" t="str">
        <f t="shared" si="2"/>
        <v>NOT FUNDED</v>
      </c>
      <c r="H188" s="20">
        <f t="shared" si="3"/>
        <v>513764</v>
      </c>
      <c r="I188" s="14" t="str">
        <f t="shared" si="1"/>
        <v>Approval Threshold</v>
      </c>
    </row>
    <row r="189">
      <c r="A189" s="18" t="s">
        <v>304</v>
      </c>
      <c r="B189" s="22">
        <v>150.0</v>
      </c>
      <c r="C189" s="9">
        <v>1.2652396E7</v>
      </c>
      <c r="D189" s="9">
        <v>5058139.0</v>
      </c>
      <c r="E189" s="10" t="str">
        <f>IF(C189&gt;percent,"YES","NO")</f>
        <v>NO</v>
      </c>
      <c r="F189" s="19">
        <v>89161.0</v>
      </c>
      <c r="G189" s="12" t="str">
        <f t="shared" si="2"/>
        <v>NOT FUNDED</v>
      </c>
      <c r="H189" s="20">
        <f t="shared" si="3"/>
        <v>513764</v>
      </c>
      <c r="I189" s="14" t="str">
        <f t="shared" si="1"/>
        <v>Approval Threshold</v>
      </c>
    </row>
    <row r="190">
      <c r="A190" s="18" t="s">
        <v>305</v>
      </c>
      <c r="B190" s="22">
        <v>107.0</v>
      </c>
      <c r="C190" s="9">
        <v>1.2605885E7</v>
      </c>
      <c r="D190" s="9">
        <v>1.013956E7</v>
      </c>
      <c r="E190" s="10" t="str">
        <f>IF(C190&gt;percent,"YES","NO")</f>
        <v>NO</v>
      </c>
      <c r="F190" s="19">
        <v>100000.0</v>
      </c>
      <c r="G190" s="12" t="str">
        <f t="shared" si="2"/>
        <v>NOT FUNDED</v>
      </c>
      <c r="H190" s="20">
        <f t="shared" si="3"/>
        <v>513764</v>
      </c>
      <c r="I190" s="14" t="str">
        <f t="shared" si="1"/>
        <v>Approval Threshold</v>
      </c>
    </row>
    <row r="191">
      <c r="A191" s="18" t="s">
        <v>306</v>
      </c>
      <c r="B191" s="22">
        <v>124.0</v>
      </c>
      <c r="C191" s="9">
        <v>1.2458159E7</v>
      </c>
      <c r="D191" s="9">
        <v>8639995.0</v>
      </c>
      <c r="E191" s="10" t="str">
        <f>IF(C191&gt;percent,"YES","NO")</f>
        <v>NO</v>
      </c>
      <c r="F191" s="19">
        <v>100000.0</v>
      </c>
      <c r="G191" s="12" t="str">
        <f t="shared" si="2"/>
        <v>NOT FUNDED</v>
      </c>
      <c r="H191" s="20">
        <f t="shared" si="3"/>
        <v>513764</v>
      </c>
      <c r="I191" s="14" t="str">
        <f t="shared" si="1"/>
        <v>Approval Threshold</v>
      </c>
    </row>
    <row r="192">
      <c r="A192" s="18" t="s">
        <v>307</v>
      </c>
      <c r="B192" s="22">
        <v>114.0</v>
      </c>
      <c r="C192" s="9">
        <v>1.2173099E7</v>
      </c>
      <c r="D192" s="9">
        <v>5705747.0</v>
      </c>
      <c r="E192" s="10" t="str">
        <f>IF(C192&gt;percent,"YES","NO")</f>
        <v>NO</v>
      </c>
      <c r="F192" s="19">
        <v>95000.0</v>
      </c>
      <c r="G192" s="12" t="str">
        <f t="shared" si="2"/>
        <v>NOT FUNDED</v>
      </c>
      <c r="H192" s="20">
        <f t="shared" si="3"/>
        <v>513764</v>
      </c>
      <c r="I192" s="14" t="str">
        <f t="shared" si="1"/>
        <v>Approval Threshold</v>
      </c>
    </row>
    <row r="193">
      <c r="A193" s="18" t="s">
        <v>308</v>
      </c>
      <c r="B193" s="22">
        <v>86.0</v>
      </c>
      <c r="C193" s="9">
        <v>1.2018121E7</v>
      </c>
      <c r="D193" s="9">
        <v>7802235.0</v>
      </c>
      <c r="E193" s="10" t="str">
        <f>IF(C193&gt;percent,"YES","NO")</f>
        <v>NO</v>
      </c>
      <c r="F193" s="19">
        <v>45000.0</v>
      </c>
      <c r="G193" s="12" t="str">
        <f t="shared" si="2"/>
        <v>NOT FUNDED</v>
      </c>
      <c r="H193" s="20">
        <f t="shared" si="3"/>
        <v>513764</v>
      </c>
      <c r="I193" s="14" t="str">
        <f t="shared" si="1"/>
        <v>Approval Threshold</v>
      </c>
    </row>
    <row r="194">
      <c r="A194" s="18" t="s">
        <v>309</v>
      </c>
      <c r="B194" s="22">
        <v>95.0</v>
      </c>
      <c r="C194" s="9">
        <v>1.2004713E7</v>
      </c>
      <c r="D194" s="9">
        <v>7022035.0</v>
      </c>
      <c r="E194" s="10" t="str">
        <f>IF(C194&gt;percent,"YES","NO")</f>
        <v>NO</v>
      </c>
      <c r="F194" s="19">
        <v>74000.0</v>
      </c>
      <c r="G194" s="12" t="str">
        <f t="shared" si="2"/>
        <v>NOT FUNDED</v>
      </c>
      <c r="H194" s="20">
        <f t="shared" si="3"/>
        <v>513764</v>
      </c>
      <c r="I194" s="14" t="str">
        <f t="shared" si="1"/>
        <v>Approval Threshold</v>
      </c>
    </row>
    <row r="195">
      <c r="A195" s="18" t="s">
        <v>310</v>
      </c>
      <c r="B195" s="22">
        <v>151.0</v>
      </c>
      <c r="C195" s="9">
        <v>1.1970938E7</v>
      </c>
      <c r="D195" s="9">
        <v>7874652.0</v>
      </c>
      <c r="E195" s="10" t="str">
        <f>IF(C195&gt;percent,"YES","NO")</f>
        <v>NO</v>
      </c>
      <c r="F195" s="19">
        <v>93400.0</v>
      </c>
      <c r="G195" s="12" t="str">
        <f t="shared" si="2"/>
        <v>NOT FUNDED</v>
      </c>
      <c r="H195" s="20">
        <f t="shared" si="3"/>
        <v>513764</v>
      </c>
      <c r="I195" s="14" t="str">
        <f t="shared" si="1"/>
        <v>Approval Threshold</v>
      </c>
    </row>
    <row r="196">
      <c r="A196" s="18" t="s">
        <v>311</v>
      </c>
      <c r="B196" s="22">
        <v>121.0</v>
      </c>
      <c r="C196" s="9">
        <v>1.1771119E7</v>
      </c>
      <c r="D196" s="9">
        <v>9856245.0</v>
      </c>
      <c r="E196" s="10" t="str">
        <f>IF(C196&gt;percent,"YES","NO")</f>
        <v>NO</v>
      </c>
      <c r="F196" s="19">
        <v>100000.0</v>
      </c>
      <c r="G196" s="12" t="str">
        <f t="shared" si="2"/>
        <v>NOT FUNDED</v>
      </c>
      <c r="H196" s="20">
        <f t="shared" si="3"/>
        <v>513764</v>
      </c>
      <c r="I196" s="14" t="str">
        <f t="shared" si="1"/>
        <v>Approval Threshold</v>
      </c>
    </row>
    <row r="197">
      <c r="A197" s="18" t="s">
        <v>312</v>
      </c>
      <c r="B197" s="22">
        <v>93.0</v>
      </c>
      <c r="C197" s="9">
        <v>1.1665355E7</v>
      </c>
      <c r="D197" s="9">
        <v>2.3062124E7</v>
      </c>
      <c r="E197" s="10" t="str">
        <f>IF(C197&gt;percent,"YES","NO")</f>
        <v>NO</v>
      </c>
      <c r="F197" s="19">
        <v>30000.0</v>
      </c>
      <c r="G197" s="12" t="str">
        <f t="shared" si="2"/>
        <v>NOT FUNDED</v>
      </c>
      <c r="H197" s="20">
        <f t="shared" si="3"/>
        <v>513764</v>
      </c>
      <c r="I197" s="14" t="str">
        <f t="shared" si="1"/>
        <v>Approval Threshold</v>
      </c>
    </row>
    <row r="198">
      <c r="A198" s="18" t="s">
        <v>313</v>
      </c>
      <c r="B198" s="22">
        <v>112.0</v>
      </c>
      <c r="C198" s="9">
        <v>1.1415071E7</v>
      </c>
      <c r="D198" s="9">
        <v>1.4245537E7</v>
      </c>
      <c r="E198" s="10" t="str">
        <f>IF(C198&gt;percent,"YES","NO")</f>
        <v>NO</v>
      </c>
      <c r="F198" s="19">
        <v>90000.0</v>
      </c>
      <c r="G198" s="12" t="str">
        <f t="shared" si="2"/>
        <v>NOT FUNDED</v>
      </c>
      <c r="H198" s="20">
        <f t="shared" si="3"/>
        <v>513764</v>
      </c>
      <c r="I198" s="14" t="str">
        <f t="shared" si="1"/>
        <v>Approval Threshold</v>
      </c>
    </row>
    <row r="199">
      <c r="A199" s="18" t="s">
        <v>314</v>
      </c>
      <c r="B199" s="22">
        <v>110.0</v>
      </c>
      <c r="C199" s="9">
        <v>1.1358244E7</v>
      </c>
      <c r="D199" s="9">
        <v>8110710.0</v>
      </c>
      <c r="E199" s="10" t="str">
        <f>IF(C199&gt;percent,"YES","NO")</f>
        <v>NO</v>
      </c>
      <c r="F199" s="19">
        <v>100000.0</v>
      </c>
      <c r="G199" s="12" t="str">
        <f t="shared" si="2"/>
        <v>NOT FUNDED</v>
      </c>
      <c r="H199" s="20">
        <f t="shared" si="3"/>
        <v>513764</v>
      </c>
      <c r="I199" s="14" t="str">
        <f t="shared" si="1"/>
        <v>Approval Threshold</v>
      </c>
    </row>
    <row r="200">
      <c r="A200" s="18" t="s">
        <v>315</v>
      </c>
      <c r="B200" s="22">
        <v>91.0</v>
      </c>
      <c r="C200" s="9">
        <v>1.135644E7</v>
      </c>
      <c r="D200" s="9">
        <v>4007195.0</v>
      </c>
      <c r="E200" s="10" t="str">
        <f>IF(C200&gt;percent,"YES","NO")</f>
        <v>NO</v>
      </c>
      <c r="F200" s="19">
        <v>74000.0</v>
      </c>
      <c r="G200" s="12" t="str">
        <f t="shared" si="2"/>
        <v>NOT FUNDED</v>
      </c>
      <c r="H200" s="20">
        <f t="shared" si="3"/>
        <v>513764</v>
      </c>
      <c r="I200" s="14" t="str">
        <f t="shared" si="1"/>
        <v>Approval Threshold</v>
      </c>
    </row>
    <row r="201">
      <c r="A201" s="18" t="s">
        <v>316</v>
      </c>
      <c r="B201" s="22">
        <v>114.0</v>
      </c>
      <c r="C201" s="9">
        <v>1.126229E7</v>
      </c>
      <c r="D201" s="9">
        <v>4970461.0</v>
      </c>
      <c r="E201" s="10" t="str">
        <f>IF(C201&gt;percent,"YES","NO")</f>
        <v>NO</v>
      </c>
      <c r="F201" s="19">
        <v>90000.0</v>
      </c>
      <c r="G201" s="12" t="str">
        <f t="shared" si="2"/>
        <v>NOT FUNDED</v>
      </c>
      <c r="H201" s="20">
        <f t="shared" si="3"/>
        <v>513764</v>
      </c>
      <c r="I201" s="14" t="str">
        <f t="shared" si="1"/>
        <v>Approval Threshold</v>
      </c>
    </row>
    <row r="202">
      <c r="A202" s="18" t="s">
        <v>317</v>
      </c>
      <c r="B202" s="22">
        <v>94.0</v>
      </c>
      <c r="C202" s="9">
        <v>1.1130296E7</v>
      </c>
      <c r="D202" s="9">
        <v>7258290.0</v>
      </c>
      <c r="E202" s="10" t="str">
        <f>IF(C202&gt;percent,"YES","NO")</f>
        <v>NO</v>
      </c>
      <c r="F202" s="19">
        <v>73000.0</v>
      </c>
      <c r="G202" s="12" t="str">
        <f t="shared" si="2"/>
        <v>NOT FUNDED</v>
      </c>
      <c r="H202" s="20">
        <f t="shared" si="3"/>
        <v>513764</v>
      </c>
      <c r="I202" s="14" t="str">
        <f t="shared" si="1"/>
        <v>Approval Threshold</v>
      </c>
    </row>
    <row r="203">
      <c r="A203" s="18" t="s">
        <v>318</v>
      </c>
      <c r="B203" s="22">
        <v>106.0</v>
      </c>
      <c r="C203" s="9">
        <v>1.1123103E7</v>
      </c>
      <c r="D203" s="9">
        <v>1.1444269E7</v>
      </c>
      <c r="E203" s="10" t="str">
        <f>IF(C203&gt;percent,"YES","NO")</f>
        <v>NO</v>
      </c>
      <c r="F203" s="19">
        <v>100000.0</v>
      </c>
      <c r="G203" s="12" t="str">
        <f t="shared" si="2"/>
        <v>NOT FUNDED</v>
      </c>
      <c r="H203" s="20">
        <f t="shared" si="3"/>
        <v>513764</v>
      </c>
      <c r="I203" s="14" t="str">
        <f t="shared" si="1"/>
        <v>Approval Threshold</v>
      </c>
    </row>
    <row r="204">
      <c r="A204" s="18" t="s">
        <v>319</v>
      </c>
      <c r="B204" s="22">
        <v>97.0</v>
      </c>
      <c r="C204" s="9">
        <v>1.1108578E7</v>
      </c>
      <c r="D204" s="9">
        <v>2.676558E7</v>
      </c>
      <c r="E204" s="10" t="str">
        <f>IF(C204&gt;percent,"YES","NO")</f>
        <v>NO</v>
      </c>
      <c r="F204" s="19">
        <v>100000.0</v>
      </c>
      <c r="G204" s="12" t="str">
        <f t="shared" si="2"/>
        <v>NOT FUNDED</v>
      </c>
      <c r="H204" s="20">
        <f t="shared" si="3"/>
        <v>513764</v>
      </c>
      <c r="I204" s="14" t="str">
        <f t="shared" si="1"/>
        <v>Approval Threshold</v>
      </c>
    </row>
    <row r="205">
      <c r="A205" s="18" t="s">
        <v>320</v>
      </c>
      <c r="B205" s="22">
        <v>107.0</v>
      </c>
      <c r="C205" s="9">
        <v>1.0867067E7</v>
      </c>
      <c r="D205" s="9">
        <v>1.2811666E7</v>
      </c>
      <c r="E205" s="10" t="str">
        <f>IF(C205&gt;percent,"YES","NO")</f>
        <v>NO</v>
      </c>
      <c r="F205" s="19">
        <v>100000.0</v>
      </c>
      <c r="G205" s="12" t="str">
        <f t="shared" si="2"/>
        <v>NOT FUNDED</v>
      </c>
      <c r="H205" s="20">
        <f t="shared" si="3"/>
        <v>513764</v>
      </c>
      <c r="I205" s="14" t="str">
        <f t="shared" si="1"/>
        <v>Approval Threshold</v>
      </c>
    </row>
    <row r="206">
      <c r="A206" s="18" t="s">
        <v>321</v>
      </c>
      <c r="B206" s="22">
        <v>81.0</v>
      </c>
      <c r="C206" s="9">
        <v>1.075085E7</v>
      </c>
      <c r="D206" s="9">
        <v>4911219.0</v>
      </c>
      <c r="E206" s="10" t="str">
        <f>IF(C206&gt;percent,"YES","NO")</f>
        <v>NO</v>
      </c>
      <c r="F206" s="19">
        <v>50000.0</v>
      </c>
      <c r="G206" s="12" t="str">
        <f t="shared" si="2"/>
        <v>NOT FUNDED</v>
      </c>
      <c r="H206" s="20">
        <f t="shared" si="3"/>
        <v>513764</v>
      </c>
      <c r="I206" s="14" t="str">
        <f t="shared" si="1"/>
        <v>Approval Threshold</v>
      </c>
    </row>
    <row r="207">
      <c r="A207" s="18" t="s">
        <v>322</v>
      </c>
      <c r="B207" s="22">
        <v>90.0</v>
      </c>
      <c r="C207" s="9">
        <v>1.0699967E7</v>
      </c>
      <c r="D207" s="9">
        <v>5224918.0</v>
      </c>
      <c r="E207" s="10" t="str">
        <f>IF(C207&gt;percent,"YES","NO")</f>
        <v>NO</v>
      </c>
      <c r="F207" s="19">
        <v>15000.0</v>
      </c>
      <c r="G207" s="12" t="str">
        <f t="shared" si="2"/>
        <v>NOT FUNDED</v>
      </c>
      <c r="H207" s="20">
        <f t="shared" si="3"/>
        <v>513764</v>
      </c>
      <c r="I207" s="14" t="str">
        <f t="shared" si="1"/>
        <v>Approval Threshold</v>
      </c>
    </row>
    <row r="208">
      <c r="A208" s="18" t="s">
        <v>323</v>
      </c>
      <c r="B208" s="22">
        <v>112.0</v>
      </c>
      <c r="C208" s="9">
        <v>1.0693957E7</v>
      </c>
      <c r="D208" s="9">
        <v>4090407.0</v>
      </c>
      <c r="E208" s="10" t="str">
        <f>IF(C208&gt;percent,"YES","NO")</f>
        <v>NO</v>
      </c>
      <c r="F208" s="19">
        <v>60350.0</v>
      </c>
      <c r="G208" s="12" t="str">
        <f t="shared" si="2"/>
        <v>NOT FUNDED</v>
      </c>
      <c r="H208" s="20">
        <f t="shared" si="3"/>
        <v>513764</v>
      </c>
      <c r="I208" s="14" t="str">
        <f t="shared" si="1"/>
        <v>Approval Threshold</v>
      </c>
    </row>
    <row r="209">
      <c r="A209" s="18" t="s">
        <v>324</v>
      </c>
      <c r="B209" s="22">
        <v>80.0</v>
      </c>
      <c r="C209" s="9">
        <v>1.0672541E7</v>
      </c>
      <c r="D209" s="9">
        <v>8481488.0</v>
      </c>
      <c r="E209" s="10" t="str">
        <f>IF(C209&gt;percent,"YES","NO")</f>
        <v>NO</v>
      </c>
      <c r="F209" s="19">
        <v>95000.0</v>
      </c>
      <c r="G209" s="12" t="str">
        <f t="shared" si="2"/>
        <v>NOT FUNDED</v>
      </c>
      <c r="H209" s="20">
        <f t="shared" si="3"/>
        <v>513764</v>
      </c>
      <c r="I209" s="14" t="str">
        <f t="shared" si="1"/>
        <v>Approval Threshold</v>
      </c>
    </row>
    <row r="210">
      <c r="A210" s="18" t="s">
        <v>325</v>
      </c>
      <c r="B210" s="22">
        <v>88.0</v>
      </c>
      <c r="C210" s="9">
        <v>1.0511461E7</v>
      </c>
      <c r="D210" s="9">
        <v>4790522.0</v>
      </c>
      <c r="E210" s="10" t="str">
        <f>IF(C210&gt;percent,"YES","NO")</f>
        <v>NO</v>
      </c>
      <c r="F210" s="19">
        <v>95000.0</v>
      </c>
      <c r="G210" s="12" t="str">
        <f t="shared" si="2"/>
        <v>NOT FUNDED</v>
      </c>
      <c r="H210" s="20">
        <f t="shared" si="3"/>
        <v>513764</v>
      </c>
      <c r="I210" s="14" t="str">
        <f t="shared" si="1"/>
        <v>Approval Threshold</v>
      </c>
    </row>
    <row r="211">
      <c r="A211" s="18" t="s">
        <v>326</v>
      </c>
      <c r="B211" s="22">
        <v>85.0</v>
      </c>
      <c r="C211" s="9">
        <v>1.0489354E7</v>
      </c>
      <c r="D211" s="9">
        <v>7329172.0</v>
      </c>
      <c r="E211" s="10" t="str">
        <f>IF(C211&gt;percent,"YES","NO")</f>
        <v>NO</v>
      </c>
      <c r="F211" s="19">
        <v>85000.0</v>
      </c>
      <c r="G211" s="12" t="str">
        <f t="shared" si="2"/>
        <v>NOT FUNDED</v>
      </c>
      <c r="H211" s="20">
        <f t="shared" si="3"/>
        <v>513764</v>
      </c>
      <c r="I211" s="14" t="str">
        <f t="shared" si="1"/>
        <v>Approval Threshold</v>
      </c>
    </row>
    <row r="212">
      <c r="A212" s="18" t="s">
        <v>327</v>
      </c>
      <c r="B212" s="22">
        <v>102.0</v>
      </c>
      <c r="C212" s="9">
        <v>1.0443705E7</v>
      </c>
      <c r="D212" s="9">
        <v>1.0670311E7</v>
      </c>
      <c r="E212" s="10" t="str">
        <f>IF(C212&gt;percent,"YES","NO")</f>
        <v>NO</v>
      </c>
      <c r="F212" s="19">
        <v>100000.0</v>
      </c>
      <c r="G212" s="12" t="str">
        <f t="shared" si="2"/>
        <v>NOT FUNDED</v>
      </c>
      <c r="H212" s="20">
        <f t="shared" si="3"/>
        <v>513764</v>
      </c>
      <c r="I212" s="14" t="str">
        <f t="shared" si="1"/>
        <v>Approval Threshold</v>
      </c>
    </row>
    <row r="213">
      <c r="A213" s="18" t="s">
        <v>328</v>
      </c>
      <c r="B213" s="22">
        <v>87.0</v>
      </c>
      <c r="C213" s="9">
        <v>1.0367554E7</v>
      </c>
      <c r="D213" s="9">
        <v>4256811.0</v>
      </c>
      <c r="E213" s="10" t="str">
        <f>IF(C213&gt;percent,"YES","NO")</f>
        <v>NO</v>
      </c>
      <c r="F213" s="19">
        <v>94000.0</v>
      </c>
      <c r="G213" s="12" t="str">
        <f t="shared" si="2"/>
        <v>NOT FUNDED</v>
      </c>
      <c r="H213" s="20">
        <f t="shared" si="3"/>
        <v>513764</v>
      </c>
      <c r="I213" s="14" t="str">
        <f t="shared" si="1"/>
        <v>Approval Threshold</v>
      </c>
    </row>
    <row r="214">
      <c r="A214" s="18" t="s">
        <v>329</v>
      </c>
      <c r="B214" s="22">
        <v>91.0</v>
      </c>
      <c r="C214" s="9">
        <v>1.0341312E7</v>
      </c>
      <c r="D214" s="9">
        <v>5924115.0</v>
      </c>
      <c r="E214" s="10" t="str">
        <f>IF(C214&gt;percent,"YES","NO")</f>
        <v>NO</v>
      </c>
      <c r="F214" s="19">
        <v>48000.0</v>
      </c>
      <c r="G214" s="12" t="str">
        <f t="shared" si="2"/>
        <v>NOT FUNDED</v>
      </c>
      <c r="H214" s="20">
        <f t="shared" si="3"/>
        <v>513764</v>
      </c>
      <c r="I214" s="14" t="str">
        <f t="shared" si="1"/>
        <v>Approval Threshold</v>
      </c>
    </row>
    <row r="215">
      <c r="A215" s="18" t="s">
        <v>330</v>
      </c>
      <c r="B215" s="22">
        <v>76.0</v>
      </c>
      <c r="C215" s="9">
        <v>1.0277872E7</v>
      </c>
      <c r="D215" s="9">
        <v>7780991.0</v>
      </c>
      <c r="E215" s="10" t="str">
        <f>IF(C215&gt;percent,"YES","NO")</f>
        <v>NO</v>
      </c>
      <c r="F215" s="19">
        <v>95200.0</v>
      </c>
      <c r="G215" s="12" t="str">
        <f t="shared" si="2"/>
        <v>NOT FUNDED</v>
      </c>
      <c r="H215" s="20">
        <f t="shared" si="3"/>
        <v>513764</v>
      </c>
      <c r="I215" s="14" t="str">
        <f t="shared" si="1"/>
        <v>Approval Threshold</v>
      </c>
    </row>
    <row r="216">
      <c r="A216" s="18" t="s">
        <v>331</v>
      </c>
      <c r="B216" s="22">
        <v>95.0</v>
      </c>
      <c r="C216" s="9">
        <v>1.0196622E7</v>
      </c>
      <c r="D216" s="9">
        <v>2.554589E7</v>
      </c>
      <c r="E216" s="10" t="str">
        <f>IF(C216&gt;percent,"YES","NO")</f>
        <v>NO</v>
      </c>
      <c r="F216" s="19">
        <v>100000.0</v>
      </c>
      <c r="G216" s="12" t="str">
        <f t="shared" si="2"/>
        <v>NOT FUNDED</v>
      </c>
      <c r="H216" s="20">
        <f t="shared" si="3"/>
        <v>513764</v>
      </c>
      <c r="I216" s="14" t="str">
        <f t="shared" si="1"/>
        <v>Approval Threshold</v>
      </c>
    </row>
    <row r="217">
      <c r="A217" s="18" t="s">
        <v>332</v>
      </c>
      <c r="B217" s="22">
        <v>96.0</v>
      </c>
      <c r="C217" s="9">
        <v>1.009087E7</v>
      </c>
      <c r="D217" s="9">
        <v>5756189.0</v>
      </c>
      <c r="E217" s="10" t="str">
        <f>IF(C217&gt;percent,"YES","NO")</f>
        <v>NO</v>
      </c>
      <c r="F217" s="19">
        <v>47360.0</v>
      </c>
      <c r="G217" s="12" t="str">
        <f t="shared" si="2"/>
        <v>NOT FUNDED</v>
      </c>
      <c r="H217" s="20">
        <f t="shared" si="3"/>
        <v>513764</v>
      </c>
      <c r="I217" s="14" t="str">
        <f t="shared" si="1"/>
        <v>Approval Threshold</v>
      </c>
    </row>
    <row r="218">
      <c r="A218" s="18" t="s">
        <v>333</v>
      </c>
      <c r="B218" s="22">
        <v>115.0</v>
      </c>
      <c r="C218" s="9">
        <v>1.0064482E7</v>
      </c>
      <c r="D218" s="9">
        <v>9146794.0</v>
      </c>
      <c r="E218" s="10" t="str">
        <f>IF(C218&gt;percent,"YES","NO")</f>
        <v>NO</v>
      </c>
      <c r="F218" s="19">
        <v>82225.0</v>
      </c>
      <c r="G218" s="12" t="str">
        <f t="shared" si="2"/>
        <v>NOT FUNDED</v>
      </c>
      <c r="H218" s="20">
        <f t="shared" si="3"/>
        <v>513764</v>
      </c>
      <c r="I218" s="14" t="str">
        <f t="shared" si="1"/>
        <v>Approval Threshold</v>
      </c>
    </row>
    <row r="219">
      <c r="A219" s="18" t="s">
        <v>334</v>
      </c>
      <c r="B219" s="22">
        <v>94.0</v>
      </c>
      <c r="C219" s="9">
        <v>1.0061604E7</v>
      </c>
      <c r="D219" s="9">
        <v>6055983.0</v>
      </c>
      <c r="E219" s="10" t="str">
        <f>IF(C219&gt;percent,"YES","NO")</f>
        <v>NO</v>
      </c>
      <c r="F219" s="19">
        <v>85000.0</v>
      </c>
      <c r="G219" s="12" t="str">
        <f t="shared" si="2"/>
        <v>NOT FUNDED</v>
      </c>
      <c r="H219" s="20">
        <f t="shared" si="3"/>
        <v>513764</v>
      </c>
      <c r="I219" s="14" t="str">
        <f t="shared" si="1"/>
        <v>Approval Threshold</v>
      </c>
    </row>
    <row r="220">
      <c r="A220" s="18" t="s">
        <v>335</v>
      </c>
      <c r="B220" s="22">
        <v>113.0</v>
      </c>
      <c r="C220" s="9">
        <v>1.0003059E7</v>
      </c>
      <c r="D220" s="9">
        <v>7523569.0</v>
      </c>
      <c r="E220" s="10" t="str">
        <f>IF(C220&gt;percent,"YES","NO")</f>
        <v>NO</v>
      </c>
      <c r="F220" s="19">
        <v>99975.0</v>
      </c>
      <c r="G220" s="12" t="str">
        <f t="shared" si="2"/>
        <v>NOT FUNDED</v>
      </c>
      <c r="H220" s="20">
        <f t="shared" si="3"/>
        <v>513764</v>
      </c>
      <c r="I220" s="14" t="str">
        <f t="shared" si="1"/>
        <v>Approval Threshold</v>
      </c>
    </row>
    <row r="221">
      <c r="A221" s="18" t="s">
        <v>336</v>
      </c>
      <c r="B221" s="22">
        <v>106.0</v>
      </c>
      <c r="C221" s="9">
        <v>9970862.0</v>
      </c>
      <c r="D221" s="9">
        <v>1.1341585E7</v>
      </c>
      <c r="E221" s="10" t="str">
        <f>IF(C221&gt;percent,"YES","NO")</f>
        <v>NO</v>
      </c>
      <c r="F221" s="19">
        <v>100000.0</v>
      </c>
      <c r="G221" s="12" t="str">
        <f t="shared" si="2"/>
        <v>NOT FUNDED</v>
      </c>
      <c r="H221" s="20">
        <f t="shared" si="3"/>
        <v>513764</v>
      </c>
      <c r="I221" s="14" t="str">
        <f t="shared" si="1"/>
        <v>Approval Threshold</v>
      </c>
    </row>
    <row r="222">
      <c r="A222" s="18" t="s">
        <v>337</v>
      </c>
      <c r="B222" s="22">
        <v>112.0</v>
      </c>
      <c r="C222" s="9">
        <v>9868104.0</v>
      </c>
      <c r="D222" s="9">
        <v>1.5097663E7</v>
      </c>
      <c r="E222" s="10" t="str">
        <f>IF(C222&gt;percent,"YES","NO")</f>
        <v>NO</v>
      </c>
      <c r="F222" s="19">
        <v>100000.0</v>
      </c>
      <c r="G222" s="12" t="str">
        <f t="shared" si="2"/>
        <v>NOT FUNDED</v>
      </c>
      <c r="H222" s="20">
        <f t="shared" si="3"/>
        <v>513764</v>
      </c>
      <c r="I222" s="14" t="str">
        <f t="shared" si="1"/>
        <v>Approval Threshold</v>
      </c>
    </row>
    <row r="223">
      <c r="A223" s="18" t="s">
        <v>338</v>
      </c>
      <c r="B223" s="22">
        <v>109.0</v>
      </c>
      <c r="C223" s="9">
        <v>9847063.0</v>
      </c>
      <c r="D223" s="9">
        <v>1.3252963E7</v>
      </c>
      <c r="E223" s="10" t="str">
        <f>IF(C223&gt;percent,"YES","NO")</f>
        <v>NO</v>
      </c>
      <c r="F223" s="19">
        <v>100000.0</v>
      </c>
      <c r="G223" s="12" t="str">
        <f t="shared" si="2"/>
        <v>NOT FUNDED</v>
      </c>
      <c r="H223" s="20">
        <f t="shared" si="3"/>
        <v>513764</v>
      </c>
      <c r="I223" s="14" t="str">
        <f t="shared" si="1"/>
        <v>Approval Threshold</v>
      </c>
    </row>
    <row r="224">
      <c r="A224" s="18" t="s">
        <v>339</v>
      </c>
      <c r="B224" s="22">
        <v>77.0</v>
      </c>
      <c r="C224" s="9">
        <v>9826287.0</v>
      </c>
      <c r="D224" s="9">
        <v>5821720.0</v>
      </c>
      <c r="E224" s="10" t="str">
        <f>IF(C224&gt;percent,"YES","NO")</f>
        <v>NO</v>
      </c>
      <c r="F224" s="19">
        <v>99975.0</v>
      </c>
      <c r="G224" s="12" t="str">
        <f t="shared" si="2"/>
        <v>NOT FUNDED</v>
      </c>
      <c r="H224" s="20">
        <f t="shared" si="3"/>
        <v>513764</v>
      </c>
      <c r="I224" s="14" t="str">
        <f t="shared" si="1"/>
        <v>Approval Threshold</v>
      </c>
    </row>
    <row r="225">
      <c r="A225" s="18" t="s">
        <v>340</v>
      </c>
      <c r="B225" s="22">
        <v>103.0</v>
      </c>
      <c r="C225" s="9">
        <v>9771747.0</v>
      </c>
      <c r="D225" s="9">
        <v>2.7512753E7</v>
      </c>
      <c r="E225" s="10" t="str">
        <f>IF(C225&gt;percent,"YES","NO")</f>
        <v>NO</v>
      </c>
      <c r="F225" s="19">
        <v>100000.0</v>
      </c>
      <c r="G225" s="12" t="str">
        <f t="shared" si="2"/>
        <v>NOT FUNDED</v>
      </c>
      <c r="H225" s="20">
        <f t="shared" si="3"/>
        <v>513764</v>
      </c>
      <c r="I225" s="14" t="str">
        <f t="shared" si="1"/>
        <v>Approval Threshold</v>
      </c>
    </row>
    <row r="226">
      <c r="A226" s="18" t="s">
        <v>341</v>
      </c>
      <c r="B226" s="22">
        <v>92.0</v>
      </c>
      <c r="C226" s="9">
        <v>9762302.0</v>
      </c>
      <c r="D226" s="9">
        <v>2.3115779E7</v>
      </c>
      <c r="E226" s="10" t="str">
        <f>IF(C226&gt;percent,"YES","NO")</f>
        <v>NO</v>
      </c>
      <c r="F226" s="19">
        <v>90000.0</v>
      </c>
      <c r="G226" s="12" t="str">
        <f t="shared" si="2"/>
        <v>NOT FUNDED</v>
      </c>
      <c r="H226" s="20">
        <f t="shared" si="3"/>
        <v>513764</v>
      </c>
      <c r="I226" s="14" t="str">
        <f t="shared" si="1"/>
        <v>Approval Threshold</v>
      </c>
    </row>
    <row r="227">
      <c r="A227" s="18" t="s">
        <v>342</v>
      </c>
      <c r="B227" s="22">
        <v>79.0</v>
      </c>
      <c r="C227" s="9">
        <v>9665361.0</v>
      </c>
      <c r="D227" s="9">
        <v>8974034.0</v>
      </c>
      <c r="E227" s="10" t="str">
        <f>IF(C227&gt;percent,"YES","NO")</f>
        <v>NO</v>
      </c>
      <c r="F227" s="19">
        <v>48000.0</v>
      </c>
      <c r="G227" s="12" t="str">
        <f t="shared" si="2"/>
        <v>NOT FUNDED</v>
      </c>
      <c r="H227" s="20">
        <f t="shared" si="3"/>
        <v>513764</v>
      </c>
      <c r="I227" s="14" t="str">
        <f t="shared" si="1"/>
        <v>Approval Threshold</v>
      </c>
    </row>
    <row r="228">
      <c r="A228" s="18" t="s">
        <v>343</v>
      </c>
      <c r="B228" s="22">
        <v>109.0</v>
      </c>
      <c r="C228" s="9">
        <v>9655242.0</v>
      </c>
      <c r="D228" s="9">
        <v>5521229.0</v>
      </c>
      <c r="E228" s="10" t="str">
        <f>IF(C228&gt;percent,"YES","NO")</f>
        <v>NO</v>
      </c>
      <c r="F228" s="19">
        <v>75000.0</v>
      </c>
      <c r="G228" s="12" t="str">
        <f t="shared" si="2"/>
        <v>NOT FUNDED</v>
      </c>
      <c r="H228" s="20">
        <f t="shared" si="3"/>
        <v>513764</v>
      </c>
      <c r="I228" s="14" t="str">
        <f t="shared" si="1"/>
        <v>Approval Threshold</v>
      </c>
    </row>
    <row r="229">
      <c r="A229" s="18" t="s">
        <v>344</v>
      </c>
      <c r="B229" s="22">
        <v>157.0</v>
      </c>
      <c r="C229" s="9">
        <v>9630714.0</v>
      </c>
      <c r="D229" s="9">
        <v>1.4056662E7</v>
      </c>
      <c r="E229" s="10" t="str">
        <f>IF(C229&gt;percent,"YES","NO")</f>
        <v>NO</v>
      </c>
      <c r="F229" s="19">
        <v>100000.0</v>
      </c>
      <c r="G229" s="12" t="str">
        <f t="shared" si="2"/>
        <v>NOT FUNDED</v>
      </c>
      <c r="H229" s="20">
        <f t="shared" si="3"/>
        <v>513764</v>
      </c>
      <c r="I229" s="14" t="str">
        <f t="shared" si="1"/>
        <v>Approval Threshold</v>
      </c>
    </row>
    <row r="230">
      <c r="A230" s="18" t="s">
        <v>345</v>
      </c>
      <c r="B230" s="22">
        <v>123.0</v>
      </c>
      <c r="C230" s="9">
        <v>9548621.0</v>
      </c>
      <c r="D230" s="9">
        <v>1.3230002E7</v>
      </c>
      <c r="E230" s="10" t="str">
        <f>IF(C230&gt;percent,"YES","NO")</f>
        <v>NO</v>
      </c>
      <c r="F230" s="19">
        <v>100000.0</v>
      </c>
      <c r="G230" s="12" t="str">
        <f t="shared" si="2"/>
        <v>NOT FUNDED</v>
      </c>
      <c r="H230" s="20">
        <f t="shared" si="3"/>
        <v>513764</v>
      </c>
      <c r="I230" s="14" t="str">
        <f t="shared" si="1"/>
        <v>Approval Threshold</v>
      </c>
    </row>
    <row r="231">
      <c r="A231" s="18" t="s">
        <v>346</v>
      </c>
      <c r="B231" s="22">
        <v>83.0</v>
      </c>
      <c r="C231" s="9">
        <v>9508934.0</v>
      </c>
      <c r="D231" s="9">
        <v>2156748.0</v>
      </c>
      <c r="E231" s="10" t="str">
        <f>IF(C231&gt;percent,"YES","NO")</f>
        <v>NO</v>
      </c>
      <c r="F231" s="19">
        <v>70000.0</v>
      </c>
      <c r="G231" s="12" t="str">
        <f t="shared" si="2"/>
        <v>NOT FUNDED</v>
      </c>
      <c r="H231" s="20">
        <f t="shared" si="3"/>
        <v>513764</v>
      </c>
      <c r="I231" s="14" t="str">
        <f t="shared" si="1"/>
        <v>Approval Threshold</v>
      </c>
    </row>
    <row r="232">
      <c r="A232" s="18" t="s">
        <v>347</v>
      </c>
      <c r="B232" s="22">
        <v>113.0</v>
      </c>
      <c r="C232" s="9">
        <v>9490654.0</v>
      </c>
      <c r="D232" s="9">
        <v>1.1786909E7</v>
      </c>
      <c r="E232" s="10" t="str">
        <f>IF(C232&gt;percent,"YES","NO")</f>
        <v>NO</v>
      </c>
      <c r="F232" s="19">
        <v>100000.0</v>
      </c>
      <c r="G232" s="12" t="str">
        <f t="shared" si="2"/>
        <v>NOT FUNDED</v>
      </c>
      <c r="H232" s="20">
        <f t="shared" si="3"/>
        <v>513764</v>
      </c>
      <c r="I232" s="14" t="str">
        <f t="shared" si="1"/>
        <v>Approval Threshold</v>
      </c>
    </row>
    <row r="233">
      <c r="A233" s="18" t="s">
        <v>348</v>
      </c>
      <c r="B233" s="22">
        <v>107.0</v>
      </c>
      <c r="C233" s="9">
        <v>9488513.0</v>
      </c>
      <c r="D233" s="9">
        <v>1.1796864E7</v>
      </c>
      <c r="E233" s="10" t="str">
        <f>IF(C233&gt;percent,"YES","NO")</f>
        <v>NO</v>
      </c>
      <c r="F233" s="19">
        <v>100000.0</v>
      </c>
      <c r="G233" s="12" t="str">
        <f t="shared" si="2"/>
        <v>NOT FUNDED</v>
      </c>
      <c r="H233" s="20">
        <f t="shared" si="3"/>
        <v>513764</v>
      </c>
      <c r="I233" s="14" t="str">
        <f t="shared" si="1"/>
        <v>Approval Threshold</v>
      </c>
    </row>
    <row r="234">
      <c r="A234" s="18" t="s">
        <v>349</v>
      </c>
      <c r="B234" s="22">
        <v>102.0</v>
      </c>
      <c r="C234" s="9">
        <v>9386354.0</v>
      </c>
      <c r="D234" s="9">
        <v>9171562.0</v>
      </c>
      <c r="E234" s="10" t="str">
        <f>IF(C234&gt;percent,"YES","NO")</f>
        <v>NO</v>
      </c>
      <c r="F234" s="19">
        <v>78700.0</v>
      </c>
      <c r="G234" s="12" t="str">
        <f t="shared" si="2"/>
        <v>NOT FUNDED</v>
      </c>
      <c r="H234" s="20">
        <f t="shared" si="3"/>
        <v>513764</v>
      </c>
      <c r="I234" s="14" t="str">
        <f t="shared" si="1"/>
        <v>Approval Threshold</v>
      </c>
    </row>
    <row r="235">
      <c r="A235" s="18" t="s">
        <v>350</v>
      </c>
      <c r="B235" s="22">
        <v>91.0</v>
      </c>
      <c r="C235" s="9">
        <v>9376281.0</v>
      </c>
      <c r="D235" s="9">
        <v>4668810.0</v>
      </c>
      <c r="E235" s="10" t="str">
        <f>IF(C235&gt;percent,"YES","NO")</f>
        <v>NO</v>
      </c>
      <c r="F235" s="19">
        <v>75000.0</v>
      </c>
      <c r="G235" s="12" t="str">
        <f t="shared" si="2"/>
        <v>NOT FUNDED</v>
      </c>
      <c r="H235" s="20">
        <f t="shared" si="3"/>
        <v>513764</v>
      </c>
      <c r="I235" s="14" t="str">
        <f t="shared" si="1"/>
        <v>Approval Threshold</v>
      </c>
    </row>
    <row r="236">
      <c r="A236" s="18" t="s">
        <v>351</v>
      </c>
      <c r="B236" s="22">
        <v>92.0</v>
      </c>
      <c r="C236" s="9">
        <v>9315640.0</v>
      </c>
      <c r="D236" s="9">
        <v>7708827.0</v>
      </c>
      <c r="E236" s="10" t="str">
        <f>IF(C236&gt;percent,"YES","NO")</f>
        <v>NO</v>
      </c>
      <c r="F236" s="19">
        <v>36000.0</v>
      </c>
      <c r="G236" s="12" t="str">
        <f t="shared" si="2"/>
        <v>NOT FUNDED</v>
      </c>
      <c r="H236" s="20">
        <f t="shared" si="3"/>
        <v>513764</v>
      </c>
      <c r="I236" s="14" t="str">
        <f t="shared" si="1"/>
        <v>Approval Threshold</v>
      </c>
    </row>
    <row r="237">
      <c r="A237" s="18" t="s">
        <v>352</v>
      </c>
      <c r="B237" s="22">
        <v>93.0</v>
      </c>
      <c r="C237" s="9">
        <v>9313966.0</v>
      </c>
      <c r="D237" s="9">
        <v>1.0934775E7</v>
      </c>
      <c r="E237" s="10" t="str">
        <f>IF(C237&gt;percent,"YES","NO")</f>
        <v>NO</v>
      </c>
      <c r="F237" s="19">
        <v>100000.0</v>
      </c>
      <c r="G237" s="12" t="str">
        <f t="shared" si="2"/>
        <v>NOT FUNDED</v>
      </c>
      <c r="H237" s="20">
        <f t="shared" si="3"/>
        <v>513764</v>
      </c>
      <c r="I237" s="14" t="str">
        <f t="shared" si="1"/>
        <v>Approval Threshold</v>
      </c>
    </row>
    <row r="238">
      <c r="A238" s="18" t="s">
        <v>353</v>
      </c>
      <c r="B238" s="22">
        <v>91.0</v>
      </c>
      <c r="C238" s="9">
        <v>9293704.0</v>
      </c>
      <c r="D238" s="9">
        <v>1.331676E7</v>
      </c>
      <c r="E238" s="10" t="str">
        <f>IF(C238&gt;percent,"YES","NO")</f>
        <v>NO</v>
      </c>
      <c r="F238" s="19">
        <v>100000.0</v>
      </c>
      <c r="G238" s="12" t="str">
        <f t="shared" si="2"/>
        <v>NOT FUNDED</v>
      </c>
      <c r="H238" s="20">
        <f t="shared" si="3"/>
        <v>513764</v>
      </c>
      <c r="I238" s="14" t="str">
        <f t="shared" si="1"/>
        <v>Approval Threshold</v>
      </c>
    </row>
    <row r="239">
      <c r="A239" s="18" t="s">
        <v>354</v>
      </c>
      <c r="B239" s="22">
        <v>92.0</v>
      </c>
      <c r="C239" s="9">
        <v>9278927.0</v>
      </c>
      <c r="D239" s="9">
        <v>6280272.0</v>
      </c>
      <c r="E239" s="10" t="str">
        <f>IF(C239&gt;percent,"YES","NO")</f>
        <v>NO</v>
      </c>
      <c r="F239" s="19">
        <v>85000.0</v>
      </c>
      <c r="G239" s="12" t="str">
        <f t="shared" si="2"/>
        <v>NOT FUNDED</v>
      </c>
      <c r="H239" s="20">
        <f t="shared" si="3"/>
        <v>513764</v>
      </c>
      <c r="I239" s="14" t="str">
        <f t="shared" si="1"/>
        <v>Approval Threshold</v>
      </c>
    </row>
    <row r="240">
      <c r="A240" s="18" t="s">
        <v>355</v>
      </c>
      <c r="B240" s="22">
        <v>105.0</v>
      </c>
      <c r="C240" s="9">
        <v>9269655.0</v>
      </c>
      <c r="D240" s="9">
        <v>1.0565454E7</v>
      </c>
      <c r="E240" s="10" t="str">
        <f>IF(C240&gt;percent,"YES","NO")</f>
        <v>NO</v>
      </c>
      <c r="F240" s="19">
        <v>100000.0</v>
      </c>
      <c r="G240" s="12" t="str">
        <f t="shared" si="2"/>
        <v>NOT FUNDED</v>
      </c>
      <c r="H240" s="20">
        <f t="shared" si="3"/>
        <v>513764</v>
      </c>
      <c r="I240" s="14" t="str">
        <f t="shared" si="1"/>
        <v>Approval Threshold</v>
      </c>
    </row>
    <row r="241">
      <c r="A241" s="18" t="s">
        <v>356</v>
      </c>
      <c r="B241" s="22">
        <v>135.0</v>
      </c>
      <c r="C241" s="9">
        <v>9240134.0</v>
      </c>
      <c r="D241" s="9">
        <v>1.296135E7</v>
      </c>
      <c r="E241" s="10" t="str">
        <f>IF(C241&gt;percent,"YES","NO")</f>
        <v>NO</v>
      </c>
      <c r="F241" s="19">
        <v>100000.0</v>
      </c>
      <c r="G241" s="12" t="str">
        <f t="shared" si="2"/>
        <v>NOT FUNDED</v>
      </c>
      <c r="H241" s="20">
        <f t="shared" si="3"/>
        <v>513764</v>
      </c>
      <c r="I241" s="14" t="str">
        <f t="shared" si="1"/>
        <v>Approval Threshold</v>
      </c>
    </row>
    <row r="242">
      <c r="A242" s="18" t="s">
        <v>357</v>
      </c>
      <c r="B242" s="22">
        <v>95.0</v>
      </c>
      <c r="C242" s="9">
        <v>9229915.0</v>
      </c>
      <c r="D242" s="9">
        <v>1.9597287E7</v>
      </c>
      <c r="E242" s="10" t="str">
        <f>IF(C242&gt;percent,"YES","NO")</f>
        <v>NO</v>
      </c>
      <c r="F242" s="19">
        <v>60000.0</v>
      </c>
      <c r="G242" s="12" t="str">
        <f t="shared" si="2"/>
        <v>NOT FUNDED</v>
      </c>
      <c r="H242" s="20">
        <f t="shared" si="3"/>
        <v>513764</v>
      </c>
      <c r="I242" s="14" t="str">
        <f t="shared" si="1"/>
        <v>Approval Threshold</v>
      </c>
    </row>
    <row r="243">
      <c r="A243" s="18" t="s">
        <v>358</v>
      </c>
      <c r="B243" s="22">
        <v>76.0</v>
      </c>
      <c r="C243" s="9">
        <v>9214250.0</v>
      </c>
      <c r="D243" s="9">
        <v>5960067.0</v>
      </c>
      <c r="E243" s="10" t="str">
        <f>IF(C243&gt;percent,"YES","NO")</f>
        <v>NO</v>
      </c>
      <c r="F243" s="19">
        <v>75000.0</v>
      </c>
      <c r="G243" s="12" t="str">
        <f t="shared" si="2"/>
        <v>NOT FUNDED</v>
      </c>
      <c r="H243" s="20">
        <f t="shared" si="3"/>
        <v>513764</v>
      </c>
      <c r="I243" s="14" t="str">
        <f t="shared" si="1"/>
        <v>Approval Threshold</v>
      </c>
    </row>
    <row r="244">
      <c r="A244" s="18" t="s">
        <v>359</v>
      </c>
      <c r="B244" s="22">
        <v>116.0</v>
      </c>
      <c r="C244" s="9">
        <v>9143617.0</v>
      </c>
      <c r="D244" s="9">
        <v>7242369.0</v>
      </c>
      <c r="E244" s="10" t="str">
        <f>IF(C244&gt;percent,"YES","NO")</f>
        <v>NO</v>
      </c>
      <c r="F244" s="19">
        <v>40502.0</v>
      </c>
      <c r="G244" s="12" t="str">
        <f t="shared" si="2"/>
        <v>NOT FUNDED</v>
      </c>
      <c r="H244" s="20">
        <f t="shared" si="3"/>
        <v>513764</v>
      </c>
      <c r="I244" s="14" t="str">
        <f t="shared" si="1"/>
        <v>Approval Threshold</v>
      </c>
    </row>
    <row r="245">
      <c r="A245" s="18" t="s">
        <v>360</v>
      </c>
      <c r="B245" s="22">
        <v>86.0</v>
      </c>
      <c r="C245" s="9">
        <v>9134650.0</v>
      </c>
      <c r="D245" s="9">
        <v>5583807.0</v>
      </c>
      <c r="E245" s="10" t="str">
        <f>IF(C245&gt;percent,"YES","NO")</f>
        <v>NO</v>
      </c>
      <c r="F245" s="19">
        <v>50000.0</v>
      </c>
      <c r="G245" s="12" t="str">
        <f t="shared" si="2"/>
        <v>NOT FUNDED</v>
      </c>
      <c r="H245" s="20">
        <f t="shared" si="3"/>
        <v>513764</v>
      </c>
      <c r="I245" s="14" t="str">
        <f t="shared" si="1"/>
        <v>Approval Threshold</v>
      </c>
    </row>
    <row r="246">
      <c r="A246" s="18" t="s">
        <v>361</v>
      </c>
      <c r="B246" s="22">
        <v>108.0</v>
      </c>
      <c r="C246" s="9">
        <v>9028876.0</v>
      </c>
      <c r="D246" s="9">
        <v>7405429.0</v>
      </c>
      <c r="E246" s="10" t="str">
        <f>IF(C246&gt;percent,"YES","NO")</f>
        <v>NO</v>
      </c>
      <c r="F246" s="19">
        <v>90000.0</v>
      </c>
      <c r="G246" s="12" t="str">
        <f t="shared" si="2"/>
        <v>NOT FUNDED</v>
      </c>
      <c r="H246" s="20">
        <f t="shared" si="3"/>
        <v>513764</v>
      </c>
      <c r="I246" s="14" t="str">
        <f t="shared" si="1"/>
        <v>Approval Threshold</v>
      </c>
    </row>
    <row r="247">
      <c r="A247" s="18" t="s">
        <v>362</v>
      </c>
      <c r="B247" s="22">
        <v>110.0</v>
      </c>
      <c r="C247" s="9">
        <v>9025273.0</v>
      </c>
      <c r="D247" s="9">
        <v>2.9558339E7</v>
      </c>
      <c r="E247" s="10" t="str">
        <f>IF(C247&gt;percent,"YES","NO")</f>
        <v>NO</v>
      </c>
      <c r="F247" s="19">
        <v>100000.0</v>
      </c>
      <c r="G247" s="12" t="str">
        <f t="shared" si="2"/>
        <v>NOT FUNDED</v>
      </c>
      <c r="H247" s="20">
        <f t="shared" si="3"/>
        <v>513764</v>
      </c>
      <c r="I247" s="14" t="str">
        <f t="shared" si="1"/>
        <v>Approval Threshold</v>
      </c>
    </row>
    <row r="248">
      <c r="A248" s="18" t="s">
        <v>363</v>
      </c>
      <c r="B248" s="22">
        <v>108.0</v>
      </c>
      <c r="C248" s="9">
        <v>8887130.0</v>
      </c>
      <c r="D248" s="9">
        <v>7947890.0</v>
      </c>
      <c r="E248" s="10" t="str">
        <f>IF(C248&gt;percent,"YES","NO")</f>
        <v>NO</v>
      </c>
      <c r="F248" s="19">
        <v>55284.0</v>
      </c>
      <c r="G248" s="12" t="str">
        <f t="shared" si="2"/>
        <v>NOT FUNDED</v>
      </c>
      <c r="H248" s="20">
        <f t="shared" si="3"/>
        <v>513764</v>
      </c>
      <c r="I248" s="14" t="str">
        <f t="shared" si="1"/>
        <v>Approval Threshold</v>
      </c>
    </row>
    <row r="249">
      <c r="A249" s="18" t="s">
        <v>364</v>
      </c>
      <c r="B249" s="22">
        <v>95.0</v>
      </c>
      <c r="C249" s="9">
        <v>8818887.0</v>
      </c>
      <c r="D249" s="9">
        <v>2.7979782E7</v>
      </c>
      <c r="E249" s="10" t="str">
        <f>IF(C249&gt;percent,"YES","NO")</f>
        <v>NO</v>
      </c>
      <c r="F249" s="19">
        <v>100000.0</v>
      </c>
      <c r="G249" s="12" t="str">
        <f t="shared" si="2"/>
        <v>NOT FUNDED</v>
      </c>
      <c r="H249" s="20">
        <f t="shared" si="3"/>
        <v>513764</v>
      </c>
      <c r="I249" s="14" t="str">
        <f t="shared" si="1"/>
        <v>Approval Threshold</v>
      </c>
    </row>
    <row r="250">
      <c r="A250" s="18" t="s">
        <v>365</v>
      </c>
      <c r="B250" s="22">
        <v>113.0</v>
      </c>
      <c r="C250" s="9">
        <v>8750082.0</v>
      </c>
      <c r="D250" s="9">
        <v>1.2453589E7</v>
      </c>
      <c r="E250" s="10" t="str">
        <f>IF(C250&gt;percent,"YES","NO")</f>
        <v>NO</v>
      </c>
      <c r="F250" s="19">
        <v>100000.0</v>
      </c>
      <c r="G250" s="12" t="str">
        <f t="shared" si="2"/>
        <v>NOT FUNDED</v>
      </c>
      <c r="H250" s="20">
        <f t="shared" si="3"/>
        <v>513764</v>
      </c>
      <c r="I250" s="14" t="str">
        <f t="shared" si="1"/>
        <v>Approval Threshold</v>
      </c>
    </row>
    <row r="251">
      <c r="A251" s="18" t="s">
        <v>366</v>
      </c>
      <c r="B251" s="22">
        <v>92.0</v>
      </c>
      <c r="C251" s="9">
        <v>8662484.0</v>
      </c>
      <c r="D251" s="9">
        <v>1.0672492E7</v>
      </c>
      <c r="E251" s="10" t="str">
        <f>IF(C251&gt;percent,"YES","NO")</f>
        <v>NO</v>
      </c>
      <c r="F251" s="19">
        <v>100000.0</v>
      </c>
      <c r="G251" s="12" t="str">
        <f t="shared" si="2"/>
        <v>NOT FUNDED</v>
      </c>
      <c r="H251" s="20">
        <f t="shared" si="3"/>
        <v>513764</v>
      </c>
      <c r="I251" s="14" t="str">
        <f t="shared" si="1"/>
        <v>Approval Threshold</v>
      </c>
    </row>
    <row r="252">
      <c r="A252" s="18" t="s">
        <v>367</v>
      </c>
      <c r="B252" s="22">
        <v>104.0</v>
      </c>
      <c r="C252" s="9">
        <v>8651989.0</v>
      </c>
      <c r="D252" s="9">
        <v>1.2716374E7</v>
      </c>
      <c r="E252" s="10" t="str">
        <f>IF(C252&gt;percent,"YES","NO")</f>
        <v>NO</v>
      </c>
      <c r="F252" s="19">
        <v>100000.0</v>
      </c>
      <c r="G252" s="12" t="str">
        <f t="shared" si="2"/>
        <v>NOT FUNDED</v>
      </c>
      <c r="H252" s="20">
        <f t="shared" si="3"/>
        <v>513764</v>
      </c>
      <c r="I252" s="14" t="str">
        <f t="shared" si="1"/>
        <v>Approval Threshold</v>
      </c>
    </row>
    <row r="253">
      <c r="A253" s="18" t="s">
        <v>368</v>
      </c>
      <c r="B253" s="22">
        <v>92.0</v>
      </c>
      <c r="C253" s="9">
        <v>8646461.0</v>
      </c>
      <c r="D253" s="9">
        <v>8796915.0</v>
      </c>
      <c r="E253" s="10" t="str">
        <f>IF(C253&gt;percent,"YES","NO")</f>
        <v>NO</v>
      </c>
      <c r="F253" s="19">
        <v>100000.0</v>
      </c>
      <c r="G253" s="12" t="str">
        <f t="shared" si="2"/>
        <v>NOT FUNDED</v>
      </c>
      <c r="H253" s="20">
        <f t="shared" si="3"/>
        <v>513764</v>
      </c>
      <c r="I253" s="14" t="str">
        <f t="shared" si="1"/>
        <v>Approval Threshold</v>
      </c>
    </row>
    <row r="254">
      <c r="A254" s="18" t="s">
        <v>369</v>
      </c>
      <c r="B254" s="22">
        <v>97.0</v>
      </c>
      <c r="C254" s="9">
        <v>8642378.0</v>
      </c>
      <c r="D254" s="9">
        <v>9130215.0</v>
      </c>
      <c r="E254" s="10" t="str">
        <f>IF(C254&gt;percent,"YES","NO")</f>
        <v>NO</v>
      </c>
      <c r="F254" s="19">
        <v>49500.0</v>
      </c>
      <c r="G254" s="12" t="str">
        <f t="shared" si="2"/>
        <v>NOT FUNDED</v>
      </c>
      <c r="H254" s="20">
        <f t="shared" si="3"/>
        <v>513764</v>
      </c>
      <c r="I254" s="14" t="str">
        <f t="shared" si="1"/>
        <v>Approval Threshold</v>
      </c>
    </row>
    <row r="255">
      <c r="A255" s="18" t="s">
        <v>370</v>
      </c>
      <c r="B255" s="22">
        <v>88.0</v>
      </c>
      <c r="C255" s="9">
        <v>8589135.0</v>
      </c>
      <c r="D255" s="9">
        <v>5164282.0</v>
      </c>
      <c r="E255" s="10" t="str">
        <f>IF(C255&gt;percent,"YES","NO")</f>
        <v>NO</v>
      </c>
      <c r="F255" s="19">
        <v>90000.0</v>
      </c>
      <c r="G255" s="12" t="str">
        <f t="shared" si="2"/>
        <v>NOT FUNDED</v>
      </c>
      <c r="H255" s="20">
        <f t="shared" si="3"/>
        <v>513764</v>
      </c>
      <c r="I255" s="14" t="str">
        <f t="shared" si="1"/>
        <v>Approval Threshold</v>
      </c>
    </row>
    <row r="256">
      <c r="A256" s="18" t="s">
        <v>371</v>
      </c>
      <c r="B256" s="22">
        <v>107.0</v>
      </c>
      <c r="C256" s="9">
        <v>8550882.0</v>
      </c>
      <c r="D256" s="9">
        <v>1.0404744E7</v>
      </c>
      <c r="E256" s="10" t="str">
        <f>IF(C256&gt;percent,"YES","NO")</f>
        <v>NO</v>
      </c>
      <c r="F256" s="19">
        <v>100000.0</v>
      </c>
      <c r="G256" s="12" t="str">
        <f t="shared" si="2"/>
        <v>NOT FUNDED</v>
      </c>
      <c r="H256" s="20">
        <f t="shared" si="3"/>
        <v>513764</v>
      </c>
      <c r="I256" s="14" t="str">
        <f t="shared" si="1"/>
        <v>Approval Threshold</v>
      </c>
    </row>
    <row r="257">
      <c r="A257" s="18" t="s">
        <v>372</v>
      </c>
      <c r="B257" s="22">
        <v>104.0</v>
      </c>
      <c r="C257" s="9">
        <v>8528061.0</v>
      </c>
      <c r="D257" s="9">
        <v>1.022617E7</v>
      </c>
      <c r="E257" s="10" t="str">
        <f>IF(C257&gt;percent,"YES","NO")</f>
        <v>NO</v>
      </c>
      <c r="F257" s="19">
        <v>65000.0</v>
      </c>
      <c r="G257" s="12" t="str">
        <f t="shared" si="2"/>
        <v>NOT FUNDED</v>
      </c>
      <c r="H257" s="20">
        <f t="shared" si="3"/>
        <v>513764</v>
      </c>
      <c r="I257" s="14" t="str">
        <f t="shared" si="1"/>
        <v>Approval Threshold</v>
      </c>
    </row>
    <row r="258">
      <c r="A258" s="18" t="s">
        <v>373</v>
      </c>
      <c r="B258" s="22">
        <v>85.0</v>
      </c>
      <c r="C258" s="9">
        <v>8497133.0</v>
      </c>
      <c r="D258" s="9">
        <v>6798769.0</v>
      </c>
      <c r="E258" s="10" t="str">
        <f>IF(C258&gt;percent,"YES","NO")</f>
        <v>NO</v>
      </c>
      <c r="F258" s="19">
        <v>93000.0</v>
      </c>
      <c r="G258" s="12" t="str">
        <f t="shared" si="2"/>
        <v>NOT FUNDED</v>
      </c>
      <c r="H258" s="20">
        <f t="shared" si="3"/>
        <v>513764</v>
      </c>
      <c r="I258" s="14" t="str">
        <f t="shared" si="1"/>
        <v>Approval Threshold</v>
      </c>
    </row>
    <row r="259">
      <c r="A259" s="18" t="s">
        <v>374</v>
      </c>
      <c r="B259" s="22">
        <v>88.0</v>
      </c>
      <c r="C259" s="9">
        <v>8422096.0</v>
      </c>
      <c r="D259" s="9">
        <v>3714950.0</v>
      </c>
      <c r="E259" s="10" t="str">
        <f>IF(C259&gt;percent,"YES","NO")</f>
        <v>NO</v>
      </c>
      <c r="F259" s="19">
        <v>45000.0</v>
      </c>
      <c r="G259" s="12" t="str">
        <f t="shared" si="2"/>
        <v>NOT FUNDED</v>
      </c>
      <c r="H259" s="20">
        <f t="shared" si="3"/>
        <v>513764</v>
      </c>
      <c r="I259" s="14" t="str">
        <f t="shared" si="1"/>
        <v>Approval Threshold</v>
      </c>
    </row>
    <row r="260">
      <c r="A260" s="18" t="s">
        <v>375</v>
      </c>
      <c r="B260" s="22">
        <v>101.0</v>
      </c>
      <c r="C260" s="9">
        <v>8321178.0</v>
      </c>
      <c r="D260" s="9">
        <v>5686871.0</v>
      </c>
      <c r="E260" s="10" t="str">
        <f>IF(C260&gt;percent,"YES","NO")</f>
        <v>NO</v>
      </c>
      <c r="F260" s="19">
        <v>78000.0</v>
      </c>
      <c r="G260" s="12" t="str">
        <f t="shared" si="2"/>
        <v>NOT FUNDED</v>
      </c>
      <c r="H260" s="20">
        <f t="shared" si="3"/>
        <v>513764</v>
      </c>
      <c r="I260" s="14" t="str">
        <f t="shared" si="1"/>
        <v>Approval Threshold</v>
      </c>
    </row>
    <row r="261">
      <c r="A261" s="18" t="s">
        <v>376</v>
      </c>
      <c r="B261" s="22">
        <v>105.0</v>
      </c>
      <c r="C261" s="9">
        <v>8278328.0</v>
      </c>
      <c r="D261" s="9">
        <v>6344710.0</v>
      </c>
      <c r="E261" s="10" t="str">
        <f>IF(C261&gt;percent,"YES","NO")</f>
        <v>NO</v>
      </c>
      <c r="F261" s="19">
        <v>45000.0</v>
      </c>
      <c r="G261" s="12" t="str">
        <f t="shared" si="2"/>
        <v>NOT FUNDED</v>
      </c>
      <c r="H261" s="20">
        <f t="shared" si="3"/>
        <v>513764</v>
      </c>
      <c r="I261" s="14" t="str">
        <f t="shared" si="1"/>
        <v>Approval Threshold</v>
      </c>
    </row>
    <row r="262">
      <c r="A262" s="18" t="s">
        <v>377</v>
      </c>
      <c r="B262" s="22">
        <v>86.0</v>
      </c>
      <c r="C262" s="9">
        <v>8243853.0</v>
      </c>
      <c r="D262" s="9">
        <v>2.3067406E7</v>
      </c>
      <c r="E262" s="10" t="str">
        <f>IF(C262&gt;percent,"YES","NO")</f>
        <v>NO</v>
      </c>
      <c r="F262" s="19">
        <v>90000.0</v>
      </c>
      <c r="G262" s="12" t="str">
        <f t="shared" si="2"/>
        <v>NOT FUNDED</v>
      </c>
      <c r="H262" s="20">
        <f t="shared" si="3"/>
        <v>513764</v>
      </c>
      <c r="I262" s="14" t="str">
        <f t="shared" si="1"/>
        <v>Approval Threshold</v>
      </c>
    </row>
    <row r="263">
      <c r="A263" s="18" t="s">
        <v>378</v>
      </c>
      <c r="B263" s="22">
        <v>103.0</v>
      </c>
      <c r="C263" s="9">
        <v>8238723.0</v>
      </c>
      <c r="D263" s="9">
        <v>7089684.0</v>
      </c>
      <c r="E263" s="10" t="str">
        <f>IF(C263&gt;percent,"YES","NO")</f>
        <v>NO</v>
      </c>
      <c r="F263" s="19">
        <v>54500.0</v>
      </c>
      <c r="G263" s="12" t="str">
        <f t="shared" si="2"/>
        <v>NOT FUNDED</v>
      </c>
      <c r="H263" s="20">
        <f t="shared" si="3"/>
        <v>513764</v>
      </c>
      <c r="I263" s="14" t="str">
        <f t="shared" si="1"/>
        <v>Approval Threshold</v>
      </c>
    </row>
    <row r="264">
      <c r="A264" s="18" t="s">
        <v>379</v>
      </c>
      <c r="B264" s="22">
        <v>101.0</v>
      </c>
      <c r="C264" s="9">
        <v>8225425.0</v>
      </c>
      <c r="D264" s="9">
        <v>7794129.0</v>
      </c>
      <c r="E264" s="10" t="str">
        <f>IF(C264&gt;percent,"YES","NO")</f>
        <v>NO</v>
      </c>
      <c r="F264" s="19">
        <v>99480.0</v>
      </c>
      <c r="G264" s="12" t="str">
        <f t="shared" si="2"/>
        <v>NOT FUNDED</v>
      </c>
      <c r="H264" s="20">
        <f t="shared" si="3"/>
        <v>513764</v>
      </c>
      <c r="I264" s="14" t="str">
        <f t="shared" si="1"/>
        <v>Approval Threshold</v>
      </c>
    </row>
    <row r="265">
      <c r="A265" s="18" t="s">
        <v>380</v>
      </c>
      <c r="B265" s="22">
        <v>80.0</v>
      </c>
      <c r="C265" s="9">
        <v>8221129.0</v>
      </c>
      <c r="D265" s="9">
        <v>7082085.0</v>
      </c>
      <c r="E265" s="10" t="str">
        <f>IF(C265&gt;percent,"YES","NO")</f>
        <v>NO</v>
      </c>
      <c r="F265" s="19">
        <v>32000.0</v>
      </c>
      <c r="G265" s="12" t="str">
        <f t="shared" si="2"/>
        <v>NOT FUNDED</v>
      </c>
      <c r="H265" s="20">
        <f t="shared" si="3"/>
        <v>513764</v>
      </c>
      <c r="I265" s="14" t="str">
        <f t="shared" si="1"/>
        <v>Approval Threshold</v>
      </c>
    </row>
    <row r="266">
      <c r="A266" s="18" t="s">
        <v>381</v>
      </c>
      <c r="B266" s="22">
        <v>87.0</v>
      </c>
      <c r="C266" s="9">
        <v>8218163.0</v>
      </c>
      <c r="D266" s="9">
        <v>1.1303661E7</v>
      </c>
      <c r="E266" s="10" t="str">
        <f>IF(C266&gt;percent,"YES","NO")</f>
        <v>NO</v>
      </c>
      <c r="F266" s="19">
        <v>100000.0</v>
      </c>
      <c r="G266" s="12" t="str">
        <f t="shared" si="2"/>
        <v>NOT FUNDED</v>
      </c>
      <c r="H266" s="20">
        <f t="shared" si="3"/>
        <v>513764</v>
      </c>
      <c r="I266" s="14" t="str">
        <f t="shared" si="1"/>
        <v>Approval Threshold</v>
      </c>
    </row>
    <row r="267">
      <c r="A267" s="18" t="s">
        <v>382</v>
      </c>
      <c r="B267" s="22">
        <v>117.0</v>
      </c>
      <c r="C267" s="9">
        <v>8215212.0</v>
      </c>
      <c r="D267" s="9">
        <v>1.0095987E7</v>
      </c>
      <c r="E267" s="10" t="str">
        <f>IF(C267&gt;percent,"YES","NO")</f>
        <v>NO</v>
      </c>
      <c r="F267" s="19">
        <v>100000.0</v>
      </c>
      <c r="G267" s="12" t="str">
        <f t="shared" si="2"/>
        <v>NOT FUNDED</v>
      </c>
      <c r="H267" s="20">
        <f t="shared" si="3"/>
        <v>513764</v>
      </c>
      <c r="I267" s="14" t="str">
        <f t="shared" si="1"/>
        <v>Approval Threshold</v>
      </c>
    </row>
    <row r="268">
      <c r="A268" s="18" t="s">
        <v>383</v>
      </c>
      <c r="B268" s="22">
        <v>102.0</v>
      </c>
      <c r="C268" s="9">
        <v>8190008.0</v>
      </c>
      <c r="D268" s="9">
        <v>2.5832638E7</v>
      </c>
      <c r="E268" s="10" t="str">
        <f>IF(C268&gt;percent,"YES","NO")</f>
        <v>NO</v>
      </c>
      <c r="F268" s="19">
        <v>100000.0</v>
      </c>
      <c r="G268" s="12" t="str">
        <f t="shared" si="2"/>
        <v>NOT FUNDED</v>
      </c>
      <c r="H268" s="20">
        <f t="shared" si="3"/>
        <v>513764</v>
      </c>
      <c r="I268" s="14" t="str">
        <f t="shared" si="1"/>
        <v>Approval Threshold</v>
      </c>
    </row>
    <row r="269">
      <c r="A269" s="18" t="s">
        <v>384</v>
      </c>
      <c r="B269" s="22">
        <v>80.0</v>
      </c>
      <c r="C269" s="9">
        <v>8149081.0</v>
      </c>
      <c r="D269" s="9">
        <v>6504980.0</v>
      </c>
      <c r="E269" s="10" t="str">
        <f>IF(C269&gt;percent,"YES","NO")</f>
        <v>NO</v>
      </c>
      <c r="F269" s="19">
        <v>95000.0</v>
      </c>
      <c r="G269" s="12" t="str">
        <f t="shared" si="2"/>
        <v>NOT FUNDED</v>
      </c>
      <c r="H269" s="20">
        <f t="shared" si="3"/>
        <v>513764</v>
      </c>
      <c r="I269" s="14" t="str">
        <f t="shared" si="1"/>
        <v>Approval Threshold</v>
      </c>
    </row>
    <row r="270">
      <c r="A270" s="18" t="s">
        <v>385</v>
      </c>
      <c r="B270" s="22">
        <v>88.0</v>
      </c>
      <c r="C270" s="9">
        <v>8131840.0</v>
      </c>
      <c r="D270" s="9">
        <v>2.0510612E7</v>
      </c>
      <c r="E270" s="10" t="str">
        <f>IF(C270&gt;percent,"YES","NO")</f>
        <v>NO</v>
      </c>
      <c r="F270" s="19">
        <v>36500.0</v>
      </c>
      <c r="G270" s="12" t="str">
        <f t="shared" si="2"/>
        <v>NOT FUNDED</v>
      </c>
      <c r="H270" s="20">
        <f t="shared" si="3"/>
        <v>513764</v>
      </c>
      <c r="I270" s="14" t="str">
        <f t="shared" si="1"/>
        <v>Approval Threshold</v>
      </c>
    </row>
    <row r="271">
      <c r="A271" s="18" t="s">
        <v>386</v>
      </c>
      <c r="B271" s="22">
        <v>91.0</v>
      </c>
      <c r="C271" s="9">
        <v>8027245.0</v>
      </c>
      <c r="D271" s="9">
        <v>1.9521783E7</v>
      </c>
      <c r="E271" s="10" t="str">
        <f>IF(C271&gt;percent,"YES","NO")</f>
        <v>NO</v>
      </c>
      <c r="F271" s="19">
        <v>45000.0</v>
      </c>
      <c r="G271" s="12" t="str">
        <f t="shared" si="2"/>
        <v>NOT FUNDED</v>
      </c>
      <c r="H271" s="20">
        <f t="shared" si="3"/>
        <v>513764</v>
      </c>
      <c r="I271" s="14" t="str">
        <f t="shared" si="1"/>
        <v>Approval Threshold</v>
      </c>
    </row>
    <row r="272">
      <c r="A272" s="18" t="s">
        <v>387</v>
      </c>
      <c r="B272" s="22">
        <v>103.0</v>
      </c>
      <c r="C272" s="9">
        <v>8001920.0</v>
      </c>
      <c r="D272" s="9">
        <v>5931393.0</v>
      </c>
      <c r="E272" s="10" t="str">
        <f>IF(C272&gt;percent,"YES","NO")</f>
        <v>NO</v>
      </c>
      <c r="F272" s="19">
        <v>50000.0</v>
      </c>
      <c r="G272" s="12" t="str">
        <f t="shared" si="2"/>
        <v>NOT FUNDED</v>
      </c>
      <c r="H272" s="20">
        <f t="shared" si="3"/>
        <v>513764</v>
      </c>
      <c r="I272" s="14" t="str">
        <f t="shared" si="1"/>
        <v>Approval Threshold</v>
      </c>
    </row>
    <row r="273">
      <c r="A273" s="18" t="s">
        <v>388</v>
      </c>
      <c r="B273" s="22">
        <v>91.0</v>
      </c>
      <c r="C273" s="9">
        <v>7987701.0</v>
      </c>
      <c r="D273" s="9">
        <v>8804031.0</v>
      </c>
      <c r="E273" s="10" t="str">
        <f>IF(C273&gt;percent,"YES","NO")</f>
        <v>NO</v>
      </c>
      <c r="F273" s="19">
        <v>85000.0</v>
      </c>
      <c r="G273" s="12" t="str">
        <f t="shared" si="2"/>
        <v>NOT FUNDED</v>
      </c>
      <c r="H273" s="20">
        <f t="shared" si="3"/>
        <v>513764</v>
      </c>
      <c r="I273" s="14" t="str">
        <f t="shared" si="1"/>
        <v>Approval Threshold</v>
      </c>
    </row>
    <row r="274">
      <c r="A274" s="18" t="s">
        <v>389</v>
      </c>
      <c r="B274" s="22">
        <v>94.0</v>
      </c>
      <c r="C274" s="9">
        <v>7981661.0</v>
      </c>
      <c r="D274" s="9">
        <v>1.5186757E7</v>
      </c>
      <c r="E274" s="10" t="str">
        <f>IF(C274&gt;percent,"YES","NO")</f>
        <v>NO</v>
      </c>
      <c r="F274" s="19">
        <v>100000.0</v>
      </c>
      <c r="G274" s="12" t="str">
        <f t="shared" si="2"/>
        <v>NOT FUNDED</v>
      </c>
      <c r="H274" s="20">
        <f t="shared" si="3"/>
        <v>513764</v>
      </c>
      <c r="I274" s="14" t="str">
        <f t="shared" si="1"/>
        <v>Approval Threshold</v>
      </c>
    </row>
    <row r="275">
      <c r="A275" s="18" t="s">
        <v>390</v>
      </c>
      <c r="B275" s="22">
        <v>97.0</v>
      </c>
      <c r="C275" s="9">
        <v>7953864.0</v>
      </c>
      <c r="D275" s="9">
        <v>1.2486507E7</v>
      </c>
      <c r="E275" s="10" t="str">
        <f>IF(C275&gt;percent,"YES","NO")</f>
        <v>NO</v>
      </c>
      <c r="F275" s="19">
        <v>100000.0</v>
      </c>
      <c r="G275" s="12" t="str">
        <f t="shared" si="2"/>
        <v>NOT FUNDED</v>
      </c>
      <c r="H275" s="20">
        <f t="shared" si="3"/>
        <v>513764</v>
      </c>
      <c r="I275" s="14" t="str">
        <f t="shared" si="1"/>
        <v>Approval Threshold</v>
      </c>
    </row>
    <row r="276">
      <c r="A276" s="18" t="s">
        <v>391</v>
      </c>
      <c r="B276" s="22">
        <v>86.0</v>
      </c>
      <c r="C276" s="9">
        <v>7886672.0</v>
      </c>
      <c r="D276" s="9">
        <v>1.0965739E7</v>
      </c>
      <c r="E276" s="10" t="str">
        <f>IF(C276&gt;percent,"YES","NO")</f>
        <v>NO</v>
      </c>
      <c r="F276" s="19">
        <v>98000.0</v>
      </c>
      <c r="G276" s="12" t="str">
        <f t="shared" si="2"/>
        <v>NOT FUNDED</v>
      </c>
      <c r="H276" s="20">
        <f t="shared" si="3"/>
        <v>513764</v>
      </c>
      <c r="I276" s="14" t="str">
        <f t="shared" si="1"/>
        <v>Approval Threshold</v>
      </c>
    </row>
    <row r="277">
      <c r="A277" s="18" t="s">
        <v>392</v>
      </c>
      <c r="B277" s="22">
        <v>88.0</v>
      </c>
      <c r="C277" s="9">
        <v>7860031.0</v>
      </c>
      <c r="D277" s="9">
        <v>6421146.0</v>
      </c>
      <c r="E277" s="10" t="str">
        <f>IF(C277&gt;percent,"YES","NO")</f>
        <v>NO</v>
      </c>
      <c r="F277" s="19">
        <v>54325.0</v>
      </c>
      <c r="G277" s="12" t="str">
        <f t="shared" si="2"/>
        <v>NOT FUNDED</v>
      </c>
      <c r="H277" s="20">
        <f t="shared" si="3"/>
        <v>513764</v>
      </c>
      <c r="I277" s="14" t="str">
        <f t="shared" si="1"/>
        <v>Approval Threshold</v>
      </c>
    </row>
    <row r="278">
      <c r="A278" s="18" t="s">
        <v>393</v>
      </c>
      <c r="B278" s="22">
        <v>92.0</v>
      </c>
      <c r="C278" s="9">
        <v>7820178.0</v>
      </c>
      <c r="D278" s="9">
        <v>1.0180025E7</v>
      </c>
      <c r="E278" s="10" t="str">
        <f>IF(C278&gt;percent,"YES","NO")</f>
        <v>NO</v>
      </c>
      <c r="F278" s="19">
        <v>90000.0</v>
      </c>
      <c r="G278" s="12" t="str">
        <f t="shared" si="2"/>
        <v>NOT FUNDED</v>
      </c>
      <c r="H278" s="20">
        <f t="shared" si="3"/>
        <v>513764</v>
      </c>
      <c r="I278" s="14" t="str">
        <f t="shared" si="1"/>
        <v>Approval Threshold</v>
      </c>
    </row>
    <row r="279">
      <c r="A279" s="18" t="s">
        <v>394</v>
      </c>
      <c r="B279" s="22">
        <v>77.0</v>
      </c>
      <c r="C279" s="9">
        <v>7814087.0</v>
      </c>
      <c r="D279" s="9">
        <v>2.1105283E7</v>
      </c>
      <c r="E279" s="10" t="str">
        <f>IF(C279&gt;percent,"YES","NO")</f>
        <v>NO</v>
      </c>
      <c r="F279" s="19">
        <v>75000.0</v>
      </c>
      <c r="G279" s="12" t="str">
        <f t="shared" si="2"/>
        <v>NOT FUNDED</v>
      </c>
      <c r="H279" s="20">
        <f t="shared" si="3"/>
        <v>513764</v>
      </c>
      <c r="I279" s="14" t="str">
        <f t="shared" si="1"/>
        <v>Approval Threshold</v>
      </c>
    </row>
    <row r="280">
      <c r="A280" s="18" t="s">
        <v>395</v>
      </c>
      <c r="B280" s="22">
        <v>108.0</v>
      </c>
      <c r="C280" s="9">
        <v>7791563.0</v>
      </c>
      <c r="D280" s="9">
        <v>1.4668724E7</v>
      </c>
      <c r="E280" s="10" t="str">
        <f>IF(C280&gt;percent,"YES","NO")</f>
        <v>NO</v>
      </c>
      <c r="F280" s="19">
        <v>100000.0</v>
      </c>
      <c r="G280" s="12" t="str">
        <f t="shared" si="2"/>
        <v>NOT FUNDED</v>
      </c>
      <c r="H280" s="20">
        <f t="shared" si="3"/>
        <v>513764</v>
      </c>
      <c r="I280" s="14" t="str">
        <f t="shared" si="1"/>
        <v>Approval Threshold</v>
      </c>
    </row>
    <row r="281">
      <c r="A281" s="18" t="s">
        <v>396</v>
      </c>
      <c r="B281" s="22">
        <v>83.0</v>
      </c>
      <c r="C281" s="9">
        <v>7720536.0</v>
      </c>
      <c r="D281" s="9">
        <v>8670913.0</v>
      </c>
      <c r="E281" s="10" t="str">
        <f>IF(C281&gt;percent,"YES","NO")</f>
        <v>NO</v>
      </c>
      <c r="F281" s="19">
        <v>50000.0</v>
      </c>
      <c r="G281" s="12" t="str">
        <f t="shared" si="2"/>
        <v>NOT FUNDED</v>
      </c>
      <c r="H281" s="20">
        <f t="shared" si="3"/>
        <v>513764</v>
      </c>
      <c r="I281" s="14" t="str">
        <f t="shared" si="1"/>
        <v>Approval Threshold</v>
      </c>
    </row>
    <row r="282">
      <c r="A282" s="18" t="s">
        <v>397</v>
      </c>
      <c r="B282" s="22">
        <v>84.0</v>
      </c>
      <c r="C282" s="9">
        <v>7685938.0</v>
      </c>
      <c r="D282" s="9">
        <v>6521348.0</v>
      </c>
      <c r="E282" s="10" t="str">
        <f>IF(C282&gt;percent,"YES","NO")</f>
        <v>NO</v>
      </c>
      <c r="F282" s="19">
        <v>95000.0</v>
      </c>
      <c r="G282" s="12" t="str">
        <f t="shared" si="2"/>
        <v>NOT FUNDED</v>
      </c>
      <c r="H282" s="20">
        <f t="shared" si="3"/>
        <v>513764</v>
      </c>
      <c r="I282" s="14" t="str">
        <f t="shared" si="1"/>
        <v>Approval Threshold</v>
      </c>
    </row>
    <row r="283">
      <c r="A283" s="18" t="s">
        <v>398</v>
      </c>
      <c r="B283" s="22">
        <v>95.0</v>
      </c>
      <c r="C283" s="9">
        <v>7685384.0</v>
      </c>
      <c r="D283" s="9">
        <v>5845483.0</v>
      </c>
      <c r="E283" s="10" t="str">
        <f>IF(C283&gt;percent,"YES","NO")</f>
        <v>NO</v>
      </c>
      <c r="F283" s="19">
        <v>66000.0</v>
      </c>
      <c r="G283" s="12" t="str">
        <f t="shared" si="2"/>
        <v>NOT FUNDED</v>
      </c>
      <c r="H283" s="20">
        <f t="shared" si="3"/>
        <v>513764</v>
      </c>
      <c r="I283" s="14" t="str">
        <f t="shared" si="1"/>
        <v>Approval Threshold</v>
      </c>
    </row>
    <row r="284">
      <c r="A284" s="18" t="s">
        <v>399</v>
      </c>
      <c r="B284" s="22">
        <v>76.0</v>
      </c>
      <c r="C284" s="9">
        <v>7652280.0</v>
      </c>
      <c r="D284" s="9">
        <v>7942798.0</v>
      </c>
      <c r="E284" s="10" t="str">
        <f>IF(C284&gt;percent,"YES","NO")</f>
        <v>NO</v>
      </c>
      <c r="F284" s="19">
        <v>60000.0</v>
      </c>
      <c r="G284" s="12" t="str">
        <f t="shared" si="2"/>
        <v>NOT FUNDED</v>
      </c>
      <c r="H284" s="20">
        <f t="shared" si="3"/>
        <v>513764</v>
      </c>
      <c r="I284" s="14" t="str">
        <f t="shared" si="1"/>
        <v>Approval Threshold</v>
      </c>
    </row>
    <row r="285">
      <c r="A285" s="18" t="s">
        <v>400</v>
      </c>
      <c r="B285" s="22">
        <v>95.0</v>
      </c>
      <c r="C285" s="9">
        <v>7650952.0</v>
      </c>
      <c r="D285" s="9">
        <v>8475877.0</v>
      </c>
      <c r="E285" s="10" t="str">
        <f>IF(C285&gt;percent,"YES","NO")</f>
        <v>NO</v>
      </c>
      <c r="F285" s="19">
        <v>71887.0</v>
      </c>
      <c r="G285" s="12" t="str">
        <f t="shared" si="2"/>
        <v>NOT FUNDED</v>
      </c>
      <c r="H285" s="20">
        <f t="shared" si="3"/>
        <v>513764</v>
      </c>
      <c r="I285" s="14" t="str">
        <f t="shared" si="1"/>
        <v>Approval Threshold</v>
      </c>
    </row>
    <row r="286">
      <c r="A286" s="18" t="s">
        <v>401</v>
      </c>
      <c r="B286" s="22">
        <v>76.0</v>
      </c>
      <c r="C286" s="9">
        <v>7616618.0</v>
      </c>
      <c r="D286" s="9">
        <v>7351009.0</v>
      </c>
      <c r="E286" s="10" t="str">
        <f>IF(C286&gt;percent,"YES","NO")</f>
        <v>NO</v>
      </c>
      <c r="F286" s="19">
        <v>51000.0</v>
      </c>
      <c r="G286" s="12" t="str">
        <f t="shared" si="2"/>
        <v>NOT FUNDED</v>
      </c>
      <c r="H286" s="20">
        <f t="shared" si="3"/>
        <v>513764</v>
      </c>
      <c r="I286" s="14" t="str">
        <f t="shared" si="1"/>
        <v>Approval Threshold</v>
      </c>
    </row>
    <row r="287">
      <c r="A287" s="18" t="s">
        <v>402</v>
      </c>
      <c r="B287" s="22">
        <v>87.0</v>
      </c>
      <c r="C287" s="9">
        <v>7591800.0</v>
      </c>
      <c r="D287" s="9">
        <v>2.1194603E7</v>
      </c>
      <c r="E287" s="10" t="str">
        <f>IF(C287&gt;percent,"YES","NO")</f>
        <v>NO</v>
      </c>
      <c r="F287" s="19">
        <v>40000.0</v>
      </c>
      <c r="G287" s="12" t="str">
        <f t="shared" si="2"/>
        <v>NOT FUNDED</v>
      </c>
      <c r="H287" s="20">
        <f t="shared" si="3"/>
        <v>513764</v>
      </c>
      <c r="I287" s="14" t="str">
        <f t="shared" si="1"/>
        <v>Approval Threshold</v>
      </c>
    </row>
    <row r="288">
      <c r="A288" s="18" t="s">
        <v>403</v>
      </c>
      <c r="B288" s="22">
        <v>90.0</v>
      </c>
      <c r="C288" s="9">
        <v>7564975.0</v>
      </c>
      <c r="D288" s="9">
        <v>2.2130598E7</v>
      </c>
      <c r="E288" s="10" t="str">
        <f>IF(C288&gt;percent,"YES","NO")</f>
        <v>NO</v>
      </c>
      <c r="F288" s="19">
        <v>80000.0</v>
      </c>
      <c r="G288" s="12" t="str">
        <f t="shared" si="2"/>
        <v>NOT FUNDED</v>
      </c>
      <c r="H288" s="20">
        <f t="shared" si="3"/>
        <v>513764</v>
      </c>
      <c r="I288" s="14" t="str">
        <f t="shared" si="1"/>
        <v>Approval Threshold</v>
      </c>
    </row>
    <row r="289">
      <c r="A289" s="18" t="s">
        <v>404</v>
      </c>
      <c r="B289" s="22">
        <v>87.0</v>
      </c>
      <c r="C289" s="9">
        <v>7563271.0</v>
      </c>
      <c r="D289" s="9">
        <v>7327904.0</v>
      </c>
      <c r="E289" s="10" t="str">
        <f>IF(C289&gt;percent,"YES","NO")</f>
        <v>NO</v>
      </c>
      <c r="F289" s="19">
        <v>43000.0</v>
      </c>
      <c r="G289" s="12" t="str">
        <f t="shared" si="2"/>
        <v>NOT FUNDED</v>
      </c>
      <c r="H289" s="20">
        <f t="shared" si="3"/>
        <v>513764</v>
      </c>
      <c r="I289" s="14" t="str">
        <f t="shared" si="1"/>
        <v>Approval Threshold</v>
      </c>
    </row>
    <row r="290">
      <c r="A290" s="18" t="s">
        <v>405</v>
      </c>
      <c r="B290" s="22">
        <v>101.0</v>
      </c>
      <c r="C290" s="9">
        <v>7516407.0</v>
      </c>
      <c r="D290" s="9">
        <v>1.0496885E7</v>
      </c>
      <c r="E290" s="10" t="str">
        <f>IF(C290&gt;percent,"YES","NO")</f>
        <v>NO</v>
      </c>
      <c r="F290" s="19">
        <v>100000.0</v>
      </c>
      <c r="G290" s="12" t="str">
        <f t="shared" si="2"/>
        <v>NOT FUNDED</v>
      </c>
      <c r="H290" s="20">
        <f t="shared" si="3"/>
        <v>513764</v>
      </c>
      <c r="I290" s="14" t="str">
        <f t="shared" si="1"/>
        <v>Approval Threshold</v>
      </c>
    </row>
    <row r="291">
      <c r="A291" s="18" t="s">
        <v>406</v>
      </c>
      <c r="B291" s="22">
        <v>96.0</v>
      </c>
      <c r="C291" s="9">
        <v>7507727.0</v>
      </c>
      <c r="D291" s="9">
        <v>1.2214118E7</v>
      </c>
      <c r="E291" s="10" t="str">
        <f>IF(C291&gt;percent,"YES","NO")</f>
        <v>NO</v>
      </c>
      <c r="F291" s="19">
        <v>100000.0</v>
      </c>
      <c r="G291" s="12" t="str">
        <f t="shared" si="2"/>
        <v>NOT FUNDED</v>
      </c>
      <c r="H291" s="20">
        <f t="shared" si="3"/>
        <v>513764</v>
      </c>
      <c r="I291" s="14" t="str">
        <f t="shared" si="1"/>
        <v>Approval Threshold</v>
      </c>
    </row>
    <row r="292">
      <c r="A292" s="18" t="s">
        <v>407</v>
      </c>
      <c r="B292" s="22">
        <v>111.0</v>
      </c>
      <c r="C292" s="9">
        <v>7473349.0</v>
      </c>
      <c r="D292" s="9">
        <v>9069417.0</v>
      </c>
      <c r="E292" s="10" t="str">
        <f>IF(C292&gt;percent,"YES","NO")</f>
        <v>NO</v>
      </c>
      <c r="F292" s="19">
        <v>75000.0</v>
      </c>
      <c r="G292" s="12" t="str">
        <f t="shared" si="2"/>
        <v>NOT FUNDED</v>
      </c>
      <c r="H292" s="20">
        <f t="shared" si="3"/>
        <v>513764</v>
      </c>
      <c r="I292" s="14" t="str">
        <f t="shared" si="1"/>
        <v>Approval Threshold</v>
      </c>
    </row>
    <row r="293">
      <c r="A293" s="18" t="s">
        <v>408</v>
      </c>
      <c r="B293" s="22">
        <v>104.0</v>
      </c>
      <c r="C293" s="9">
        <v>7465079.0</v>
      </c>
      <c r="D293" s="9">
        <v>2.5184656E7</v>
      </c>
      <c r="E293" s="10" t="str">
        <f>IF(C293&gt;percent,"YES","NO")</f>
        <v>NO</v>
      </c>
      <c r="F293" s="19">
        <v>60895.0</v>
      </c>
      <c r="G293" s="12" t="str">
        <f t="shared" si="2"/>
        <v>NOT FUNDED</v>
      </c>
      <c r="H293" s="20">
        <f t="shared" si="3"/>
        <v>513764</v>
      </c>
      <c r="I293" s="14" t="str">
        <f t="shared" si="1"/>
        <v>Approval Threshold</v>
      </c>
    </row>
    <row r="294">
      <c r="A294" s="18" t="s">
        <v>409</v>
      </c>
      <c r="B294" s="22">
        <v>72.0</v>
      </c>
      <c r="C294" s="9">
        <v>7332410.0</v>
      </c>
      <c r="D294" s="9">
        <v>6037970.0</v>
      </c>
      <c r="E294" s="10" t="str">
        <f>IF(C294&gt;percent,"YES","NO")</f>
        <v>NO</v>
      </c>
      <c r="F294" s="19">
        <v>40000.0</v>
      </c>
      <c r="G294" s="12" t="str">
        <f t="shared" si="2"/>
        <v>NOT FUNDED</v>
      </c>
      <c r="H294" s="20">
        <f t="shared" si="3"/>
        <v>513764</v>
      </c>
      <c r="I294" s="14" t="str">
        <f t="shared" si="1"/>
        <v>Approval Threshold</v>
      </c>
    </row>
    <row r="295">
      <c r="A295" s="18" t="s">
        <v>410</v>
      </c>
      <c r="B295" s="22">
        <v>113.0</v>
      </c>
      <c r="C295" s="9">
        <v>7329983.0</v>
      </c>
      <c r="D295" s="9">
        <v>7447986.0</v>
      </c>
      <c r="E295" s="10" t="str">
        <f>IF(C295&gt;percent,"YES","NO")</f>
        <v>NO</v>
      </c>
      <c r="F295" s="19">
        <v>92000.0</v>
      </c>
      <c r="G295" s="12" t="str">
        <f t="shared" si="2"/>
        <v>NOT FUNDED</v>
      </c>
      <c r="H295" s="20">
        <f t="shared" si="3"/>
        <v>513764</v>
      </c>
      <c r="I295" s="14" t="str">
        <f t="shared" si="1"/>
        <v>Approval Threshold</v>
      </c>
    </row>
    <row r="296">
      <c r="A296" s="18" t="s">
        <v>411</v>
      </c>
      <c r="B296" s="22">
        <v>98.0</v>
      </c>
      <c r="C296" s="9">
        <v>7255338.0</v>
      </c>
      <c r="D296" s="9">
        <v>7492534.0</v>
      </c>
      <c r="E296" s="10" t="str">
        <f>IF(C296&gt;percent,"YES","NO")</f>
        <v>NO</v>
      </c>
      <c r="F296" s="19">
        <v>70000.0</v>
      </c>
      <c r="G296" s="12" t="str">
        <f t="shared" si="2"/>
        <v>NOT FUNDED</v>
      </c>
      <c r="H296" s="20">
        <f t="shared" si="3"/>
        <v>513764</v>
      </c>
      <c r="I296" s="14" t="str">
        <f t="shared" si="1"/>
        <v>Approval Threshold</v>
      </c>
    </row>
    <row r="297">
      <c r="A297" s="18" t="s">
        <v>412</v>
      </c>
      <c r="B297" s="22">
        <v>93.0</v>
      </c>
      <c r="C297" s="9">
        <v>7254931.0</v>
      </c>
      <c r="D297" s="9">
        <v>6428019.0</v>
      </c>
      <c r="E297" s="10" t="str">
        <f>IF(C297&gt;percent,"YES","NO")</f>
        <v>NO</v>
      </c>
      <c r="F297" s="19">
        <v>75000.0</v>
      </c>
      <c r="G297" s="12" t="str">
        <f t="shared" si="2"/>
        <v>NOT FUNDED</v>
      </c>
      <c r="H297" s="20">
        <f t="shared" si="3"/>
        <v>513764</v>
      </c>
      <c r="I297" s="14" t="str">
        <f t="shared" si="1"/>
        <v>Approval Threshold</v>
      </c>
    </row>
    <row r="298">
      <c r="A298" s="18" t="s">
        <v>413</v>
      </c>
      <c r="B298" s="22">
        <v>78.0</v>
      </c>
      <c r="C298" s="9">
        <v>7252916.0</v>
      </c>
      <c r="D298" s="9">
        <v>9903918.0</v>
      </c>
      <c r="E298" s="10" t="str">
        <f>IF(C298&gt;percent,"YES","NO")</f>
        <v>NO</v>
      </c>
      <c r="F298" s="19">
        <v>100000.0</v>
      </c>
      <c r="G298" s="12" t="str">
        <f t="shared" si="2"/>
        <v>NOT FUNDED</v>
      </c>
      <c r="H298" s="20">
        <f t="shared" si="3"/>
        <v>513764</v>
      </c>
      <c r="I298" s="14" t="str">
        <f t="shared" si="1"/>
        <v>Approval Threshold</v>
      </c>
    </row>
    <row r="299">
      <c r="A299" s="18" t="s">
        <v>414</v>
      </c>
      <c r="B299" s="22">
        <v>113.0</v>
      </c>
      <c r="C299" s="9">
        <v>7205859.0</v>
      </c>
      <c r="D299" s="9">
        <v>2.4050749E7</v>
      </c>
      <c r="E299" s="10" t="str">
        <f>IF(C299&gt;percent,"YES","NO")</f>
        <v>NO</v>
      </c>
      <c r="F299" s="19">
        <v>95000.0</v>
      </c>
      <c r="G299" s="12" t="str">
        <f t="shared" si="2"/>
        <v>NOT FUNDED</v>
      </c>
      <c r="H299" s="20">
        <f t="shared" si="3"/>
        <v>513764</v>
      </c>
      <c r="I299" s="14" t="str">
        <f t="shared" si="1"/>
        <v>Approval Threshold</v>
      </c>
    </row>
    <row r="300">
      <c r="A300" s="18" t="s">
        <v>415</v>
      </c>
      <c r="B300" s="22">
        <v>84.0</v>
      </c>
      <c r="C300" s="9">
        <v>7152163.0</v>
      </c>
      <c r="D300" s="9">
        <v>6887356.0</v>
      </c>
      <c r="E300" s="10" t="str">
        <f>IF(C300&gt;percent,"YES","NO")</f>
        <v>NO</v>
      </c>
      <c r="F300" s="19">
        <v>90000.0</v>
      </c>
      <c r="G300" s="12" t="str">
        <f t="shared" si="2"/>
        <v>NOT FUNDED</v>
      </c>
      <c r="H300" s="20">
        <f t="shared" si="3"/>
        <v>513764</v>
      </c>
      <c r="I300" s="14" t="str">
        <f t="shared" si="1"/>
        <v>Approval Threshold</v>
      </c>
    </row>
    <row r="301">
      <c r="A301" s="18" t="s">
        <v>416</v>
      </c>
      <c r="B301" s="22">
        <v>82.0</v>
      </c>
      <c r="C301" s="9">
        <v>7149089.0</v>
      </c>
      <c r="D301" s="9">
        <v>6542082.0</v>
      </c>
      <c r="E301" s="10" t="str">
        <f>IF(C301&gt;percent,"YES","NO")</f>
        <v>NO</v>
      </c>
      <c r="F301" s="19">
        <v>60000.0</v>
      </c>
      <c r="G301" s="12" t="str">
        <f t="shared" si="2"/>
        <v>NOT FUNDED</v>
      </c>
      <c r="H301" s="20">
        <f t="shared" si="3"/>
        <v>513764</v>
      </c>
      <c r="I301" s="14" t="str">
        <f t="shared" si="1"/>
        <v>Approval Threshold</v>
      </c>
    </row>
    <row r="302">
      <c r="A302" s="18" t="s">
        <v>417</v>
      </c>
      <c r="B302" s="22">
        <v>101.0</v>
      </c>
      <c r="C302" s="9">
        <v>7114549.0</v>
      </c>
      <c r="D302" s="9">
        <v>8817249.0</v>
      </c>
      <c r="E302" s="10" t="str">
        <f>IF(C302&gt;percent,"YES","NO")</f>
        <v>NO</v>
      </c>
      <c r="F302" s="19">
        <v>100000.0</v>
      </c>
      <c r="G302" s="12" t="str">
        <f t="shared" si="2"/>
        <v>NOT FUNDED</v>
      </c>
      <c r="H302" s="20">
        <f t="shared" si="3"/>
        <v>513764</v>
      </c>
      <c r="I302" s="14" t="str">
        <f t="shared" si="1"/>
        <v>Approval Threshold</v>
      </c>
    </row>
    <row r="303">
      <c r="A303" s="18" t="s">
        <v>418</v>
      </c>
      <c r="B303" s="22">
        <v>95.0</v>
      </c>
      <c r="C303" s="9">
        <v>7113739.0</v>
      </c>
      <c r="D303" s="9">
        <v>6630186.0</v>
      </c>
      <c r="E303" s="10" t="str">
        <f>IF(C303&gt;percent,"YES","NO")</f>
        <v>NO</v>
      </c>
      <c r="F303" s="19">
        <v>85000.0</v>
      </c>
      <c r="G303" s="12" t="str">
        <f t="shared" si="2"/>
        <v>NOT FUNDED</v>
      </c>
      <c r="H303" s="20">
        <f t="shared" si="3"/>
        <v>513764</v>
      </c>
      <c r="I303" s="14" t="str">
        <f t="shared" si="1"/>
        <v>Approval Threshold</v>
      </c>
    </row>
    <row r="304">
      <c r="A304" s="18" t="s">
        <v>419</v>
      </c>
      <c r="B304" s="22">
        <v>81.0</v>
      </c>
      <c r="C304" s="9">
        <v>7108242.0</v>
      </c>
      <c r="D304" s="9">
        <v>1.2222195E7</v>
      </c>
      <c r="E304" s="10" t="str">
        <f>IF(C304&gt;percent,"YES","NO")</f>
        <v>NO</v>
      </c>
      <c r="F304" s="19">
        <v>100000.0</v>
      </c>
      <c r="G304" s="12" t="str">
        <f t="shared" si="2"/>
        <v>NOT FUNDED</v>
      </c>
      <c r="H304" s="20">
        <f t="shared" si="3"/>
        <v>513764</v>
      </c>
      <c r="I304" s="14" t="str">
        <f t="shared" si="1"/>
        <v>Approval Threshold</v>
      </c>
    </row>
    <row r="305">
      <c r="A305" s="18" t="s">
        <v>420</v>
      </c>
      <c r="B305" s="22">
        <v>84.0</v>
      </c>
      <c r="C305" s="9">
        <v>7094544.0</v>
      </c>
      <c r="D305" s="9">
        <v>2.0295233E7</v>
      </c>
      <c r="E305" s="10" t="str">
        <f>IF(C305&gt;percent,"YES","NO")</f>
        <v>NO</v>
      </c>
      <c r="F305" s="19">
        <v>50000.0</v>
      </c>
      <c r="G305" s="12" t="str">
        <f t="shared" si="2"/>
        <v>NOT FUNDED</v>
      </c>
      <c r="H305" s="20">
        <f t="shared" si="3"/>
        <v>513764</v>
      </c>
      <c r="I305" s="14" t="str">
        <f t="shared" si="1"/>
        <v>Approval Threshold</v>
      </c>
    </row>
    <row r="306">
      <c r="A306" s="18" t="s">
        <v>421</v>
      </c>
      <c r="B306" s="22">
        <v>75.0</v>
      </c>
      <c r="C306" s="9">
        <v>7072889.0</v>
      </c>
      <c r="D306" s="9">
        <v>5938146.0</v>
      </c>
      <c r="E306" s="10" t="str">
        <f>IF(C306&gt;percent,"YES","NO")</f>
        <v>NO</v>
      </c>
      <c r="F306" s="19">
        <v>68500.0</v>
      </c>
      <c r="G306" s="12" t="str">
        <f t="shared" si="2"/>
        <v>NOT FUNDED</v>
      </c>
      <c r="H306" s="20">
        <f t="shared" si="3"/>
        <v>513764</v>
      </c>
      <c r="I306" s="14" t="str">
        <f t="shared" si="1"/>
        <v>Approval Threshold</v>
      </c>
    </row>
    <row r="307">
      <c r="A307" s="18" t="s">
        <v>422</v>
      </c>
      <c r="B307" s="22">
        <v>86.0</v>
      </c>
      <c r="C307" s="9">
        <v>7036843.0</v>
      </c>
      <c r="D307" s="9">
        <v>5078694.0</v>
      </c>
      <c r="E307" s="10" t="str">
        <f>IF(C307&gt;percent,"YES","NO")</f>
        <v>NO</v>
      </c>
      <c r="F307" s="19">
        <v>90000.0</v>
      </c>
      <c r="G307" s="12" t="str">
        <f t="shared" si="2"/>
        <v>NOT FUNDED</v>
      </c>
      <c r="H307" s="20">
        <f t="shared" si="3"/>
        <v>513764</v>
      </c>
      <c r="I307" s="14" t="str">
        <f t="shared" si="1"/>
        <v>Approval Threshold</v>
      </c>
    </row>
    <row r="308">
      <c r="A308" s="18" t="s">
        <v>423</v>
      </c>
      <c r="B308" s="22">
        <v>88.0</v>
      </c>
      <c r="C308" s="9">
        <v>7014794.0</v>
      </c>
      <c r="D308" s="9">
        <v>1.1067754E7</v>
      </c>
      <c r="E308" s="10" t="str">
        <f>IF(C308&gt;percent,"YES","NO")</f>
        <v>NO</v>
      </c>
      <c r="F308" s="19">
        <v>100000.0</v>
      </c>
      <c r="G308" s="12" t="str">
        <f t="shared" si="2"/>
        <v>NOT FUNDED</v>
      </c>
      <c r="H308" s="20">
        <f t="shared" si="3"/>
        <v>513764</v>
      </c>
      <c r="I308" s="14" t="str">
        <f t="shared" si="1"/>
        <v>Approval Threshold</v>
      </c>
    </row>
    <row r="309">
      <c r="A309" s="18" t="s">
        <v>424</v>
      </c>
      <c r="B309" s="22">
        <v>114.0</v>
      </c>
      <c r="C309" s="9">
        <v>7000558.0</v>
      </c>
      <c r="D309" s="9">
        <v>1.66163E7</v>
      </c>
      <c r="E309" s="10" t="str">
        <f>IF(C309&gt;percent,"YES","NO")</f>
        <v>NO</v>
      </c>
      <c r="F309" s="19">
        <v>100000.0</v>
      </c>
      <c r="G309" s="12" t="str">
        <f t="shared" si="2"/>
        <v>NOT FUNDED</v>
      </c>
      <c r="H309" s="20">
        <f t="shared" si="3"/>
        <v>513764</v>
      </c>
      <c r="I309" s="14" t="str">
        <f t="shared" si="1"/>
        <v>Approval Threshold</v>
      </c>
    </row>
    <row r="310">
      <c r="A310" s="18" t="s">
        <v>425</v>
      </c>
      <c r="B310" s="22">
        <v>101.0</v>
      </c>
      <c r="C310" s="9">
        <v>6985474.0</v>
      </c>
      <c r="D310" s="9">
        <v>1.4434458E7</v>
      </c>
      <c r="E310" s="10" t="str">
        <f>IF(C310&gt;percent,"YES","NO")</f>
        <v>NO</v>
      </c>
      <c r="F310" s="19">
        <v>100000.0</v>
      </c>
      <c r="G310" s="12" t="str">
        <f t="shared" si="2"/>
        <v>NOT FUNDED</v>
      </c>
      <c r="H310" s="20">
        <f t="shared" si="3"/>
        <v>513764</v>
      </c>
      <c r="I310" s="14" t="str">
        <f t="shared" si="1"/>
        <v>Approval Threshold</v>
      </c>
    </row>
    <row r="311">
      <c r="A311" s="18" t="s">
        <v>426</v>
      </c>
      <c r="B311" s="22">
        <v>88.0</v>
      </c>
      <c r="C311" s="9">
        <v>6967138.0</v>
      </c>
      <c r="D311" s="9">
        <v>5296468.0</v>
      </c>
      <c r="E311" s="10" t="str">
        <f>IF(C311&gt;percent,"YES","NO")</f>
        <v>NO</v>
      </c>
      <c r="F311" s="19">
        <v>35000.0</v>
      </c>
      <c r="G311" s="12" t="str">
        <f t="shared" si="2"/>
        <v>NOT FUNDED</v>
      </c>
      <c r="H311" s="20">
        <f t="shared" si="3"/>
        <v>513764</v>
      </c>
      <c r="I311" s="14" t="str">
        <f t="shared" si="1"/>
        <v>Approval Threshold</v>
      </c>
    </row>
    <row r="312">
      <c r="A312" s="18" t="s">
        <v>427</v>
      </c>
      <c r="B312" s="22">
        <v>88.0</v>
      </c>
      <c r="C312" s="9">
        <v>6957838.0</v>
      </c>
      <c r="D312" s="9">
        <v>6369487.0</v>
      </c>
      <c r="E312" s="10" t="str">
        <f>IF(C312&gt;percent,"YES","NO")</f>
        <v>NO</v>
      </c>
      <c r="F312" s="19">
        <v>75000.0</v>
      </c>
      <c r="G312" s="12" t="str">
        <f t="shared" si="2"/>
        <v>NOT FUNDED</v>
      </c>
      <c r="H312" s="20">
        <f t="shared" si="3"/>
        <v>513764</v>
      </c>
      <c r="I312" s="14" t="str">
        <f t="shared" si="1"/>
        <v>Approval Threshold</v>
      </c>
    </row>
    <row r="313">
      <c r="A313" s="18" t="s">
        <v>428</v>
      </c>
      <c r="B313" s="22">
        <v>104.0</v>
      </c>
      <c r="C313" s="9">
        <v>6953659.0</v>
      </c>
      <c r="D313" s="9">
        <v>3.0113198E7</v>
      </c>
      <c r="E313" s="10" t="str">
        <f>IF(C313&gt;percent,"YES","NO")</f>
        <v>NO</v>
      </c>
      <c r="F313" s="19">
        <v>100000.0</v>
      </c>
      <c r="G313" s="12" t="str">
        <f t="shared" si="2"/>
        <v>NOT FUNDED</v>
      </c>
      <c r="H313" s="20">
        <f t="shared" si="3"/>
        <v>513764</v>
      </c>
      <c r="I313" s="14" t="str">
        <f t="shared" si="1"/>
        <v>Approval Threshold</v>
      </c>
    </row>
    <row r="314">
      <c r="A314" s="18" t="s">
        <v>429</v>
      </c>
      <c r="B314" s="22">
        <v>87.0</v>
      </c>
      <c r="C314" s="9">
        <v>6946388.0</v>
      </c>
      <c r="D314" s="9">
        <v>1.2083419E7</v>
      </c>
      <c r="E314" s="10" t="str">
        <f>IF(C314&gt;percent,"YES","NO")</f>
        <v>NO</v>
      </c>
      <c r="F314" s="19">
        <v>95000.0</v>
      </c>
      <c r="G314" s="12" t="str">
        <f t="shared" si="2"/>
        <v>NOT FUNDED</v>
      </c>
      <c r="H314" s="20">
        <f t="shared" si="3"/>
        <v>513764</v>
      </c>
      <c r="I314" s="14" t="str">
        <f t="shared" si="1"/>
        <v>Approval Threshold</v>
      </c>
    </row>
    <row r="315">
      <c r="A315" s="18" t="s">
        <v>430</v>
      </c>
      <c r="B315" s="22">
        <v>78.0</v>
      </c>
      <c r="C315" s="9">
        <v>6841082.0</v>
      </c>
      <c r="D315" s="9">
        <v>6665953.0</v>
      </c>
      <c r="E315" s="10" t="str">
        <f>IF(C315&gt;percent,"YES","NO")</f>
        <v>NO</v>
      </c>
      <c r="F315" s="19">
        <v>74000.0</v>
      </c>
      <c r="G315" s="12" t="str">
        <f t="shared" si="2"/>
        <v>NOT FUNDED</v>
      </c>
      <c r="H315" s="20">
        <f t="shared" si="3"/>
        <v>513764</v>
      </c>
      <c r="I315" s="14" t="str">
        <f t="shared" si="1"/>
        <v>Approval Threshold</v>
      </c>
    </row>
    <row r="316">
      <c r="A316" s="18" t="s">
        <v>431</v>
      </c>
      <c r="B316" s="22">
        <v>84.0</v>
      </c>
      <c r="C316" s="9">
        <v>6796721.0</v>
      </c>
      <c r="D316" s="9">
        <v>8090106.0</v>
      </c>
      <c r="E316" s="10" t="str">
        <f>IF(C316&gt;percent,"YES","NO")</f>
        <v>NO</v>
      </c>
      <c r="F316" s="19">
        <v>98000.0</v>
      </c>
      <c r="G316" s="12" t="str">
        <f t="shared" si="2"/>
        <v>NOT FUNDED</v>
      </c>
      <c r="H316" s="20">
        <f t="shared" si="3"/>
        <v>513764</v>
      </c>
      <c r="I316" s="14" t="str">
        <f t="shared" si="1"/>
        <v>Approval Threshold</v>
      </c>
    </row>
    <row r="317">
      <c r="A317" s="18" t="s">
        <v>432</v>
      </c>
      <c r="B317" s="22">
        <v>75.0</v>
      </c>
      <c r="C317" s="9">
        <v>6782330.0</v>
      </c>
      <c r="D317" s="9">
        <v>6988441.0</v>
      </c>
      <c r="E317" s="10" t="str">
        <f>IF(C317&gt;percent,"YES","NO")</f>
        <v>NO</v>
      </c>
      <c r="F317" s="19">
        <v>75000.0</v>
      </c>
      <c r="G317" s="12" t="str">
        <f t="shared" si="2"/>
        <v>NOT FUNDED</v>
      </c>
      <c r="H317" s="20">
        <f t="shared" si="3"/>
        <v>513764</v>
      </c>
      <c r="I317" s="14" t="str">
        <f t="shared" si="1"/>
        <v>Approval Threshold</v>
      </c>
    </row>
    <row r="318">
      <c r="A318" s="18" t="s">
        <v>433</v>
      </c>
      <c r="B318" s="22">
        <v>95.0</v>
      </c>
      <c r="C318" s="9">
        <v>6765187.0</v>
      </c>
      <c r="D318" s="9">
        <v>1.2315931E7</v>
      </c>
      <c r="E318" s="10" t="str">
        <f>IF(C318&gt;percent,"YES","NO")</f>
        <v>NO</v>
      </c>
      <c r="F318" s="19">
        <v>100000.0</v>
      </c>
      <c r="G318" s="12" t="str">
        <f t="shared" si="2"/>
        <v>NOT FUNDED</v>
      </c>
      <c r="H318" s="20">
        <f t="shared" si="3"/>
        <v>513764</v>
      </c>
      <c r="I318" s="14" t="str">
        <f t="shared" si="1"/>
        <v>Approval Threshold</v>
      </c>
    </row>
    <row r="319">
      <c r="A319" s="18" t="s">
        <v>434</v>
      </c>
      <c r="B319" s="22">
        <v>84.0</v>
      </c>
      <c r="C319" s="9">
        <v>6749939.0</v>
      </c>
      <c r="D319" s="9">
        <v>1.0578353E7</v>
      </c>
      <c r="E319" s="10" t="str">
        <f>IF(C319&gt;percent,"YES","NO")</f>
        <v>NO</v>
      </c>
      <c r="F319" s="19">
        <v>100000.0</v>
      </c>
      <c r="G319" s="12" t="str">
        <f t="shared" si="2"/>
        <v>NOT FUNDED</v>
      </c>
      <c r="H319" s="20">
        <f t="shared" si="3"/>
        <v>513764</v>
      </c>
      <c r="I319" s="14" t="str">
        <f t="shared" si="1"/>
        <v>Approval Threshold</v>
      </c>
    </row>
    <row r="320">
      <c r="A320" s="18" t="s">
        <v>435</v>
      </c>
      <c r="B320" s="22">
        <v>90.0</v>
      </c>
      <c r="C320" s="9">
        <v>6737207.0</v>
      </c>
      <c r="D320" s="9">
        <v>9615677.0</v>
      </c>
      <c r="E320" s="10" t="str">
        <f>IF(C320&gt;percent,"YES","NO")</f>
        <v>NO</v>
      </c>
      <c r="F320" s="19">
        <v>60000.0</v>
      </c>
      <c r="G320" s="12" t="str">
        <f t="shared" si="2"/>
        <v>NOT FUNDED</v>
      </c>
      <c r="H320" s="20">
        <f t="shared" si="3"/>
        <v>513764</v>
      </c>
      <c r="I320" s="14" t="str">
        <f t="shared" si="1"/>
        <v>Approval Threshold</v>
      </c>
    </row>
    <row r="321">
      <c r="A321" s="18" t="s">
        <v>436</v>
      </c>
      <c r="B321" s="22">
        <v>92.0</v>
      </c>
      <c r="C321" s="9">
        <v>6706716.0</v>
      </c>
      <c r="D321" s="9">
        <v>7540401.0</v>
      </c>
      <c r="E321" s="10" t="str">
        <f>IF(C321&gt;percent,"YES","NO")</f>
        <v>NO</v>
      </c>
      <c r="F321" s="19">
        <v>35000.0</v>
      </c>
      <c r="G321" s="12" t="str">
        <f t="shared" si="2"/>
        <v>NOT FUNDED</v>
      </c>
      <c r="H321" s="20">
        <f t="shared" si="3"/>
        <v>513764</v>
      </c>
      <c r="I321" s="14" t="str">
        <f t="shared" si="1"/>
        <v>Approval Threshold</v>
      </c>
    </row>
    <row r="322">
      <c r="A322" s="18" t="s">
        <v>437</v>
      </c>
      <c r="B322" s="22">
        <v>91.0</v>
      </c>
      <c r="C322" s="9">
        <v>6695786.0</v>
      </c>
      <c r="D322" s="9">
        <v>2.1429218E7</v>
      </c>
      <c r="E322" s="10" t="str">
        <f>IF(C322&gt;percent,"YES","NO")</f>
        <v>NO</v>
      </c>
      <c r="F322" s="19">
        <v>69900.0</v>
      </c>
      <c r="G322" s="12" t="str">
        <f t="shared" si="2"/>
        <v>NOT FUNDED</v>
      </c>
      <c r="H322" s="20">
        <f t="shared" si="3"/>
        <v>513764</v>
      </c>
      <c r="I322" s="14" t="str">
        <f t="shared" si="1"/>
        <v>Approval Threshold</v>
      </c>
    </row>
    <row r="323">
      <c r="A323" s="18" t="s">
        <v>438</v>
      </c>
      <c r="B323" s="22">
        <v>82.0</v>
      </c>
      <c r="C323" s="9">
        <v>6693752.0</v>
      </c>
      <c r="D323" s="9">
        <v>7368433.0</v>
      </c>
      <c r="E323" s="10" t="str">
        <f>IF(C323&gt;percent,"YES","NO")</f>
        <v>NO</v>
      </c>
      <c r="F323" s="19">
        <v>36000.0</v>
      </c>
      <c r="G323" s="12" t="str">
        <f t="shared" si="2"/>
        <v>NOT FUNDED</v>
      </c>
      <c r="H323" s="20">
        <f t="shared" si="3"/>
        <v>513764</v>
      </c>
      <c r="I323" s="14" t="str">
        <f t="shared" si="1"/>
        <v>Approval Threshold</v>
      </c>
    </row>
    <row r="324">
      <c r="A324" s="18" t="s">
        <v>439</v>
      </c>
      <c r="B324" s="22">
        <v>105.0</v>
      </c>
      <c r="C324" s="9">
        <v>6679948.0</v>
      </c>
      <c r="D324" s="9">
        <v>8250351.0</v>
      </c>
      <c r="E324" s="10" t="str">
        <f>IF(C324&gt;percent,"YES","NO")</f>
        <v>NO</v>
      </c>
      <c r="F324" s="19">
        <v>35000.0</v>
      </c>
      <c r="G324" s="12" t="str">
        <f t="shared" si="2"/>
        <v>NOT FUNDED</v>
      </c>
      <c r="H324" s="20">
        <f t="shared" si="3"/>
        <v>513764</v>
      </c>
      <c r="I324" s="14" t="str">
        <f t="shared" si="1"/>
        <v>Approval Threshold</v>
      </c>
    </row>
    <row r="325">
      <c r="A325" s="18" t="s">
        <v>440</v>
      </c>
      <c r="B325" s="22">
        <v>92.0</v>
      </c>
      <c r="C325" s="9">
        <v>6624497.0</v>
      </c>
      <c r="D325" s="9">
        <v>8934579.0</v>
      </c>
      <c r="E325" s="10" t="str">
        <f>IF(C325&gt;percent,"YES","NO")</f>
        <v>NO</v>
      </c>
      <c r="F325" s="19">
        <v>70000.0</v>
      </c>
      <c r="G325" s="12" t="str">
        <f t="shared" si="2"/>
        <v>NOT FUNDED</v>
      </c>
      <c r="H325" s="20">
        <f t="shared" si="3"/>
        <v>513764</v>
      </c>
      <c r="I325" s="14" t="str">
        <f t="shared" si="1"/>
        <v>Approval Threshold</v>
      </c>
    </row>
    <row r="326">
      <c r="A326" s="18" t="s">
        <v>441</v>
      </c>
      <c r="B326" s="22">
        <v>78.0</v>
      </c>
      <c r="C326" s="9">
        <v>6609996.0</v>
      </c>
      <c r="D326" s="9">
        <v>5534341.0</v>
      </c>
      <c r="E326" s="10" t="str">
        <f>IF(C326&gt;percent,"YES","NO")</f>
        <v>NO</v>
      </c>
      <c r="F326" s="19">
        <v>50000.0</v>
      </c>
      <c r="G326" s="12" t="str">
        <f t="shared" si="2"/>
        <v>NOT FUNDED</v>
      </c>
      <c r="H326" s="20">
        <f t="shared" si="3"/>
        <v>513764</v>
      </c>
      <c r="I326" s="14" t="str">
        <f t="shared" si="1"/>
        <v>Approval Threshold</v>
      </c>
    </row>
    <row r="327">
      <c r="A327" s="18" t="s">
        <v>442</v>
      </c>
      <c r="B327" s="22">
        <v>91.0</v>
      </c>
      <c r="C327" s="9">
        <v>6603571.0</v>
      </c>
      <c r="D327" s="9">
        <v>2.7927732E7</v>
      </c>
      <c r="E327" s="10" t="str">
        <f>IF(C327&gt;percent,"YES","NO")</f>
        <v>NO</v>
      </c>
      <c r="F327" s="19">
        <v>100000.0</v>
      </c>
      <c r="G327" s="12" t="str">
        <f t="shared" si="2"/>
        <v>NOT FUNDED</v>
      </c>
      <c r="H327" s="20">
        <f t="shared" si="3"/>
        <v>513764</v>
      </c>
      <c r="I327" s="14" t="str">
        <f t="shared" si="1"/>
        <v>Approval Threshold</v>
      </c>
    </row>
    <row r="328">
      <c r="A328" s="18" t="s">
        <v>443</v>
      </c>
      <c r="B328" s="22">
        <v>79.0</v>
      </c>
      <c r="C328" s="9">
        <v>6569925.0</v>
      </c>
      <c r="D328" s="9">
        <v>5553415.0</v>
      </c>
      <c r="E328" s="10" t="str">
        <f>IF(C328&gt;percent,"YES","NO")</f>
        <v>NO</v>
      </c>
      <c r="F328" s="19">
        <v>30000.0</v>
      </c>
      <c r="G328" s="12" t="str">
        <f t="shared" si="2"/>
        <v>NOT FUNDED</v>
      </c>
      <c r="H328" s="20">
        <f t="shared" si="3"/>
        <v>513764</v>
      </c>
      <c r="I328" s="14" t="str">
        <f t="shared" si="1"/>
        <v>Approval Threshold</v>
      </c>
    </row>
    <row r="329">
      <c r="A329" s="18" t="s">
        <v>444</v>
      </c>
      <c r="B329" s="22">
        <v>81.0</v>
      </c>
      <c r="C329" s="9">
        <v>6541452.0</v>
      </c>
      <c r="D329" s="9">
        <v>6741118.0</v>
      </c>
      <c r="E329" s="10" t="str">
        <f>IF(C329&gt;percent,"YES","NO")</f>
        <v>NO</v>
      </c>
      <c r="F329" s="19">
        <v>98284.0</v>
      </c>
      <c r="G329" s="12" t="str">
        <f t="shared" si="2"/>
        <v>NOT FUNDED</v>
      </c>
      <c r="H329" s="20">
        <f t="shared" si="3"/>
        <v>513764</v>
      </c>
      <c r="I329" s="14" t="str">
        <f t="shared" si="1"/>
        <v>Approval Threshold</v>
      </c>
    </row>
    <row r="330">
      <c r="A330" s="18" t="s">
        <v>445</v>
      </c>
      <c r="B330" s="22">
        <v>93.0</v>
      </c>
      <c r="C330" s="9">
        <v>6522286.0</v>
      </c>
      <c r="D330" s="9">
        <v>6977323.0</v>
      </c>
      <c r="E330" s="10" t="str">
        <f>IF(C330&gt;percent,"YES","NO")</f>
        <v>NO</v>
      </c>
      <c r="F330" s="19">
        <v>48000.0</v>
      </c>
      <c r="G330" s="12" t="str">
        <f t="shared" si="2"/>
        <v>NOT FUNDED</v>
      </c>
      <c r="H330" s="20">
        <f t="shared" si="3"/>
        <v>513764</v>
      </c>
      <c r="I330" s="14" t="str">
        <f t="shared" si="1"/>
        <v>Approval Threshold</v>
      </c>
    </row>
    <row r="331">
      <c r="A331" s="18" t="s">
        <v>446</v>
      </c>
      <c r="B331" s="22">
        <v>106.0</v>
      </c>
      <c r="C331" s="9">
        <v>6464665.0</v>
      </c>
      <c r="D331" s="9">
        <v>2.3517965E7</v>
      </c>
      <c r="E331" s="10" t="str">
        <f>IF(C331&gt;percent,"YES","NO")</f>
        <v>NO</v>
      </c>
      <c r="F331" s="19">
        <v>80000.0</v>
      </c>
      <c r="G331" s="12" t="str">
        <f t="shared" si="2"/>
        <v>NOT FUNDED</v>
      </c>
      <c r="H331" s="20">
        <f t="shared" si="3"/>
        <v>513764</v>
      </c>
      <c r="I331" s="14" t="str">
        <f t="shared" si="1"/>
        <v>Approval Threshold</v>
      </c>
    </row>
    <row r="332">
      <c r="A332" s="18" t="s">
        <v>447</v>
      </c>
      <c r="B332" s="22">
        <v>101.0</v>
      </c>
      <c r="C332" s="9">
        <v>6463773.0</v>
      </c>
      <c r="D332" s="9">
        <v>2.6305902E7</v>
      </c>
      <c r="E332" s="10" t="str">
        <f>IF(C332&gt;percent,"YES","NO")</f>
        <v>NO</v>
      </c>
      <c r="F332" s="19">
        <v>100000.0</v>
      </c>
      <c r="G332" s="12" t="str">
        <f t="shared" si="2"/>
        <v>NOT FUNDED</v>
      </c>
      <c r="H332" s="20">
        <f t="shared" si="3"/>
        <v>513764</v>
      </c>
      <c r="I332" s="14" t="str">
        <f t="shared" si="1"/>
        <v>Approval Threshold</v>
      </c>
    </row>
    <row r="333">
      <c r="A333" s="18" t="s">
        <v>448</v>
      </c>
      <c r="B333" s="22">
        <v>93.0</v>
      </c>
      <c r="C333" s="9">
        <v>6427603.0</v>
      </c>
      <c r="D333" s="9">
        <v>1.0724286E7</v>
      </c>
      <c r="E333" s="10" t="str">
        <f>IF(C333&gt;percent,"YES","NO")</f>
        <v>NO</v>
      </c>
      <c r="F333" s="19">
        <v>100000.0</v>
      </c>
      <c r="G333" s="12" t="str">
        <f t="shared" si="2"/>
        <v>NOT FUNDED</v>
      </c>
      <c r="H333" s="20">
        <f t="shared" si="3"/>
        <v>513764</v>
      </c>
      <c r="I333" s="14" t="str">
        <f t="shared" si="1"/>
        <v>Approval Threshold</v>
      </c>
    </row>
    <row r="334">
      <c r="A334" s="18" t="s">
        <v>449</v>
      </c>
      <c r="B334" s="22">
        <v>83.0</v>
      </c>
      <c r="C334" s="9">
        <v>6402520.0</v>
      </c>
      <c r="D334" s="9">
        <v>1.2218708E7</v>
      </c>
      <c r="E334" s="10" t="str">
        <f>IF(C334&gt;percent,"YES","NO")</f>
        <v>NO</v>
      </c>
      <c r="F334" s="19">
        <v>100000.0</v>
      </c>
      <c r="G334" s="12" t="str">
        <f t="shared" si="2"/>
        <v>NOT FUNDED</v>
      </c>
      <c r="H334" s="20">
        <f t="shared" si="3"/>
        <v>513764</v>
      </c>
      <c r="I334" s="14" t="str">
        <f t="shared" si="1"/>
        <v>Approval Threshold</v>
      </c>
    </row>
    <row r="335">
      <c r="A335" s="18" t="s">
        <v>450</v>
      </c>
      <c r="B335" s="22">
        <v>94.0</v>
      </c>
      <c r="C335" s="9">
        <v>6364705.0</v>
      </c>
      <c r="D335" s="9">
        <v>2.1450909E7</v>
      </c>
      <c r="E335" s="10" t="str">
        <f>IF(C335&gt;percent,"YES","NO")</f>
        <v>NO</v>
      </c>
      <c r="F335" s="19">
        <v>96000.0</v>
      </c>
      <c r="G335" s="12" t="str">
        <f t="shared" si="2"/>
        <v>NOT FUNDED</v>
      </c>
      <c r="H335" s="20">
        <f t="shared" si="3"/>
        <v>513764</v>
      </c>
      <c r="I335" s="14" t="str">
        <f t="shared" si="1"/>
        <v>Approval Threshold</v>
      </c>
    </row>
    <row r="336">
      <c r="A336" s="18" t="s">
        <v>451</v>
      </c>
      <c r="B336" s="22">
        <v>99.0</v>
      </c>
      <c r="C336" s="9">
        <v>6358445.0</v>
      </c>
      <c r="D336" s="9">
        <v>1.1873534E7</v>
      </c>
      <c r="E336" s="10" t="str">
        <f>IF(C336&gt;percent,"YES","NO")</f>
        <v>NO</v>
      </c>
      <c r="F336" s="19">
        <v>90000.0</v>
      </c>
      <c r="G336" s="12" t="str">
        <f t="shared" si="2"/>
        <v>NOT FUNDED</v>
      </c>
      <c r="H336" s="20">
        <f t="shared" si="3"/>
        <v>513764</v>
      </c>
      <c r="I336" s="14" t="str">
        <f t="shared" si="1"/>
        <v>Approval Threshold</v>
      </c>
    </row>
    <row r="337">
      <c r="A337" s="18" t="s">
        <v>452</v>
      </c>
      <c r="B337" s="22">
        <v>103.0</v>
      </c>
      <c r="C337" s="9">
        <v>6357760.0</v>
      </c>
      <c r="D337" s="9">
        <v>1.2397901E7</v>
      </c>
      <c r="E337" s="10" t="str">
        <f>IF(C337&gt;percent,"YES","NO")</f>
        <v>NO</v>
      </c>
      <c r="F337" s="19">
        <v>100000.0</v>
      </c>
      <c r="G337" s="12" t="str">
        <f t="shared" si="2"/>
        <v>NOT FUNDED</v>
      </c>
      <c r="H337" s="20">
        <f t="shared" si="3"/>
        <v>513764</v>
      </c>
      <c r="I337" s="14" t="str">
        <f t="shared" si="1"/>
        <v>Approval Threshold</v>
      </c>
    </row>
    <row r="338">
      <c r="A338" s="18" t="s">
        <v>453</v>
      </c>
      <c r="B338" s="22">
        <v>90.0</v>
      </c>
      <c r="C338" s="9">
        <v>6295687.0</v>
      </c>
      <c r="D338" s="9">
        <v>5073209.0</v>
      </c>
      <c r="E338" s="10" t="str">
        <f>IF(C338&gt;percent,"YES","NO")</f>
        <v>NO</v>
      </c>
      <c r="F338" s="19">
        <v>80000.0</v>
      </c>
      <c r="G338" s="12" t="str">
        <f t="shared" si="2"/>
        <v>NOT FUNDED</v>
      </c>
      <c r="H338" s="20">
        <f t="shared" si="3"/>
        <v>513764</v>
      </c>
      <c r="I338" s="14" t="str">
        <f t="shared" si="1"/>
        <v>Approval Threshold</v>
      </c>
    </row>
    <row r="339">
      <c r="A339" s="18" t="s">
        <v>454</v>
      </c>
      <c r="B339" s="22">
        <v>106.0</v>
      </c>
      <c r="C339" s="9">
        <v>6292742.0</v>
      </c>
      <c r="D339" s="9">
        <v>1.2883594E7</v>
      </c>
      <c r="E339" s="10" t="str">
        <f>IF(C339&gt;percent,"YES","NO")</f>
        <v>NO</v>
      </c>
      <c r="F339" s="19">
        <v>100000.0</v>
      </c>
      <c r="G339" s="12" t="str">
        <f t="shared" si="2"/>
        <v>NOT FUNDED</v>
      </c>
      <c r="H339" s="20">
        <f t="shared" si="3"/>
        <v>513764</v>
      </c>
      <c r="I339" s="14" t="str">
        <f t="shared" si="1"/>
        <v>Approval Threshold</v>
      </c>
    </row>
    <row r="340">
      <c r="A340" s="18" t="s">
        <v>455</v>
      </c>
      <c r="B340" s="22">
        <v>83.0</v>
      </c>
      <c r="C340" s="9">
        <v>6217719.0</v>
      </c>
      <c r="D340" s="9">
        <v>8413193.0</v>
      </c>
      <c r="E340" s="10" t="str">
        <f>IF(C340&gt;percent,"YES","NO")</f>
        <v>NO</v>
      </c>
      <c r="F340" s="19">
        <v>64342.0</v>
      </c>
      <c r="G340" s="12" t="str">
        <f t="shared" si="2"/>
        <v>NOT FUNDED</v>
      </c>
      <c r="H340" s="20">
        <f t="shared" si="3"/>
        <v>513764</v>
      </c>
      <c r="I340" s="14" t="str">
        <f t="shared" si="1"/>
        <v>Approval Threshold</v>
      </c>
    </row>
    <row r="341">
      <c r="A341" s="18" t="s">
        <v>456</v>
      </c>
      <c r="B341" s="22">
        <v>81.0</v>
      </c>
      <c r="C341" s="9">
        <v>6201727.0</v>
      </c>
      <c r="D341" s="9">
        <v>1.5386318E7</v>
      </c>
      <c r="E341" s="10" t="str">
        <f>IF(C341&gt;percent,"YES","NO")</f>
        <v>NO</v>
      </c>
      <c r="F341" s="19">
        <v>100000.0</v>
      </c>
      <c r="G341" s="12" t="str">
        <f t="shared" si="2"/>
        <v>NOT FUNDED</v>
      </c>
      <c r="H341" s="20">
        <f t="shared" si="3"/>
        <v>513764</v>
      </c>
      <c r="I341" s="14" t="str">
        <f t="shared" si="1"/>
        <v>Approval Threshold</v>
      </c>
    </row>
    <row r="342">
      <c r="A342" s="18" t="s">
        <v>457</v>
      </c>
      <c r="B342" s="22">
        <v>80.0</v>
      </c>
      <c r="C342" s="9">
        <v>6194523.0</v>
      </c>
      <c r="D342" s="9">
        <v>1.0660067E7</v>
      </c>
      <c r="E342" s="10" t="str">
        <f>IF(C342&gt;percent,"YES","NO")</f>
        <v>NO</v>
      </c>
      <c r="F342" s="19">
        <v>100000.0</v>
      </c>
      <c r="G342" s="12" t="str">
        <f t="shared" si="2"/>
        <v>NOT FUNDED</v>
      </c>
      <c r="H342" s="20">
        <f t="shared" si="3"/>
        <v>513764</v>
      </c>
      <c r="I342" s="14" t="str">
        <f t="shared" si="1"/>
        <v>Approval Threshold</v>
      </c>
    </row>
    <row r="343">
      <c r="A343" s="18" t="s">
        <v>458</v>
      </c>
      <c r="B343" s="22">
        <v>86.0</v>
      </c>
      <c r="C343" s="9">
        <v>6169774.0</v>
      </c>
      <c r="D343" s="9">
        <v>5593145.0</v>
      </c>
      <c r="E343" s="10" t="str">
        <f>IF(C343&gt;percent,"YES","NO")</f>
        <v>NO</v>
      </c>
      <c r="F343" s="19">
        <v>71000.0</v>
      </c>
      <c r="G343" s="12" t="str">
        <f t="shared" si="2"/>
        <v>NOT FUNDED</v>
      </c>
      <c r="H343" s="20">
        <f t="shared" si="3"/>
        <v>513764</v>
      </c>
      <c r="I343" s="14" t="str">
        <f t="shared" si="1"/>
        <v>Approval Threshold</v>
      </c>
    </row>
    <row r="344">
      <c r="A344" s="18" t="s">
        <v>459</v>
      </c>
      <c r="B344" s="22">
        <v>88.0</v>
      </c>
      <c r="C344" s="9">
        <v>6148699.0</v>
      </c>
      <c r="D344" s="9">
        <v>2.5727846E7</v>
      </c>
      <c r="E344" s="10" t="str">
        <f>IF(C344&gt;percent,"YES","NO")</f>
        <v>NO</v>
      </c>
      <c r="F344" s="19">
        <v>100000.0</v>
      </c>
      <c r="G344" s="12" t="str">
        <f t="shared" si="2"/>
        <v>NOT FUNDED</v>
      </c>
      <c r="H344" s="20">
        <f t="shared" si="3"/>
        <v>513764</v>
      </c>
      <c r="I344" s="14" t="str">
        <f t="shared" si="1"/>
        <v>Approval Threshold</v>
      </c>
    </row>
    <row r="345">
      <c r="A345" s="18" t="s">
        <v>460</v>
      </c>
      <c r="B345" s="22">
        <v>93.0</v>
      </c>
      <c r="C345" s="9">
        <v>6133029.0</v>
      </c>
      <c r="D345" s="9">
        <v>2.623519E7</v>
      </c>
      <c r="E345" s="10" t="str">
        <f>IF(C345&gt;percent,"YES","NO")</f>
        <v>NO</v>
      </c>
      <c r="F345" s="19">
        <v>60000.0</v>
      </c>
      <c r="G345" s="12" t="str">
        <f t="shared" si="2"/>
        <v>NOT FUNDED</v>
      </c>
      <c r="H345" s="20">
        <f t="shared" si="3"/>
        <v>513764</v>
      </c>
      <c r="I345" s="14" t="str">
        <f t="shared" si="1"/>
        <v>Approval Threshold</v>
      </c>
    </row>
    <row r="346">
      <c r="A346" s="18" t="s">
        <v>461</v>
      </c>
      <c r="B346" s="22">
        <v>93.0</v>
      </c>
      <c r="C346" s="9">
        <v>6130303.0</v>
      </c>
      <c r="D346" s="9">
        <v>6971952.0</v>
      </c>
      <c r="E346" s="10" t="str">
        <f>IF(C346&gt;percent,"YES","NO")</f>
        <v>NO</v>
      </c>
      <c r="F346" s="19">
        <v>38000.0</v>
      </c>
      <c r="G346" s="12" t="str">
        <f t="shared" si="2"/>
        <v>NOT FUNDED</v>
      </c>
      <c r="H346" s="20">
        <f t="shared" si="3"/>
        <v>513764</v>
      </c>
      <c r="I346" s="14" t="str">
        <f t="shared" si="1"/>
        <v>Approval Threshold</v>
      </c>
    </row>
    <row r="347">
      <c r="A347" s="18" t="s">
        <v>462</v>
      </c>
      <c r="B347" s="22">
        <v>86.0</v>
      </c>
      <c r="C347" s="9">
        <v>6104508.0</v>
      </c>
      <c r="D347" s="9">
        <v>2.6008602E7</v>
      </c>
      <c r="E347" s="10" t="str">
        <f>IF(C347&gt;percent,"YES","NO")</f>
        <v>NO</v>
      </c>
      <c r="F347" s="19">
        <v>57112.0</v>
      </c>
      <c r="G347" s="12" t="str">
        <f t="shared" si="2"/>
        <v>NOT FUNDED</v>
      </c>
      <c r="H347" s="20">
        <f t="shared" si="3"/>
        <v>513764</v>
      </c>
      <c r="I347" s="14" t="str">
        <f t="shared" si="1"/>
        <v>Approval Threshold</v>
      </c>
    </row>
    <row r="348">
      <c r="A348" s="18" t="s">
        <v>463</v>
      </c>
      <c r="B348" s="22">
        <v>110.0</v>
      </c>
      <c r="C348" s="9">
        <v>6088334.0</v>
      </c>
      <c r="D348" s="9">
        <v>1.4445827E7</v>
      </c>
      <c r="E348" s="10" t="str">
        <f>IF(C348&gt;percent,"YES","NO")</f>
        <v>NO</v>
      </c>
      <c r="F348" s="19">
        <v>100000.0</v>
      </c>
      <c r="G348" s="12" t="str">
        <f t="shared" si="2"/>
        <v>NOT FUNDED</v>
      </c>
      <c r="H348" s="20">
        <f t="shared" si="3"/>
        <v>513764</v>
      </c>
      <c r="I348" s="14" t="str">
        <f t="shared" si="1"/>
        <v>Approval Threshold</v>
      </c>
    </row>
    <row r="349">
      <c r="A349" s="18" t="s">
        <v>464</v>
      </c>
      <c r="B349" s="22">
        <v>110.0</v>
      </c>
      <c r="C349" s="9">
        <v>5981115.0</v>
      </c>
      <c r="D349" s="9">
        <v>1.117485E7</v>
      </c>
      <c r="E349" s="10" t="str">
        <f>IF(C349&gt;percent,"YES","NO")</f>
        <v>NO</v>
      </c>
      <c r="F349" s="19">
        <v>100000.0</v>
      </c>
      <c r="G349" s="12" t="str">
        <f t="shared" si="2"/>
        <v>NOT FUNDED</v>
      </c>
      <c r="H349" s="20">
        <f t="shared" si="3"/>
        <v>513764</v>
      </c>
      <c r="I349" s="14" t="str">
        <f t="shared" si="1"/>
        <v>Approval Threshold</v>
      </c>
    </row>
    <row r="350">
      <c r="A350" s="18" t="s">
        <v>465</v>
      </c>
      <c r="B350" s="22">
        <v>77.0</v>
      </c>
      <c r="C350" s="9">
        <v>5977677.0</v>
      </c>
      <c r="D350" s="9">
        <v>2.1092176E7</v>
      </c>
      <c r="E350" s="10" t="str">
        <f>IF(C350&gt;percent,"YES","NO")</f>
        <v>NO</v>
      </c>
      <c r="F350" s="19">
        <v>85000.0</v>
      </c>
      <c r="G350" s="12" t="str">
        <f t="shared" si="2"/>
        <v>NOT FUNDED</v>
      </c>
      <c r="H350" s="20">
        <f t="shared" si="3"/>
        <v>513764</v>
      </c>
      <c r="I350" s="14" t="str">
        <f t="shared" si="1"/>
        <v>Approval Threshold</v>
      </c>
    </row>
    <row r="351">
      <c r="A351" s="18" t="s">
        <v>466</v>
      </c>
      <c r="B351" s="22">
        <v>92.0</v>
      </c>
      <c r="C351" s="9">
        <v>5924140.0</v>
      </c>
      <c r="D351" s="9">
        <v>7832184.0</v>
      </c>
      <c r="E351" s="10" t="str">
        <f>IF(C351&gt;percent,"YES","NO")</f>
        <v>NO</v>
      </c>
      <c r="F351" s="19">
        <v>45000.0</v>
      </c>
      <c r="G351" s="12" t="str">
        <f t="shared" si="2"/>
        <v>NOT FUNDED</v>
      </c>
      <c r="H351" s="20">
        <f t="shared" si="3"/>
        <v>513764</v>
      </c>
      <c r="I351" s="14" t="str">
        <f t="shared" si="1"/>
        <v>Approval Threshold</v>
      </c>
    </row>
    <row r="352">
      <c r="A352" s="18" t="s">
        <v>467</v>
      </c>
      <c r="B352" s="22">
        <v>88.0</v>
      </c>
      <c r="C352" s="9">
        <v>5922605.0</v>
      </c>
      <c r="D352" s="9">
        <v>1.0957166E7</v>
      </c>
      <c r="E352" s="10" t="str">
        <f>IF(C352&gt;percent,"YES","NO")</f>
        <v>NO</v>
      </c>
      <c r="F352" s="19">
        <v>100000.0</v>
      </c>
      <c r="G352" s="12" t="str">
        <f t="shared" si="2"/>
        <v>NOT FUNDED</v>
      </c>
      <c r="H352" s="20">
        <f t="shared" si="3"/>
        <v>513764</v>
      </c>
      <c r="I352" s="14" t="str">
        <f t="shared" si="1"/>
        <v>Approval Threshold</v>
      </c>
    </row>
    <row r="353">
      <c r="A353" s="18" t="s">
        <v>468</v>
      </c>
      <c r="B353" s="22">
        <v>91.0</v>
      </c>
      <c r="C353" s="9">
        <v>5922097.0</v>
      </c>
      <c r="D353" s="9">
        <v>1.0382857E7</v>
      </c>
      <c r="E353" s="10" t="str">
        <f>IF(C353&gt;percent,"YES","NO")</f>
        <v>NO</v>
      </c>
      <c r="F353" s="19">
        <v>78362.0</v>
      </c>
      <c r="G353" s="12" t="str">
        <f t="shared" si="2"/>
        <v>NOT FUNDED</v>
      </c>
      <c r="H353" s="20">
        <f t="shared" si="3"/>
        <v>513764</v>
      </c>
      <c r="I353" s="14" t="str">
        <f t="shared" si="1"/>
        <v>Approval Threshold</v>
      </c>
    </row>
    <row r="354">
      <c r="A354" s="18" t="s">
        <v>469</v>
      </c>
      <c r="B354" s="22">
        <v>105.0</v>
      </c>
      <c r="C354" s="9">
        <v>5907103.0</v>
      </c>
      <c r="D354" s="9">
        <v>8189073.0</v>
      </c>
      <c r="E354" s="10" t="str">
        <f>IF(C354&gt;percent,"YES","NO")</f>
        <v>NO</v>
      </c>
      <c r="F354" s="19">
        <v>39000.0</v>
      </c>
      <c r="G354" s="12" t="str">
        <f t="shared" si="2"/>
        <v>NOT FUNDED</v>
      </c>
      <c r="H354" s="20">
        <f t="shared" si="3"/>
        <v>513764</v>
      </c>
      <c r="I354" s="14" t="str">
        <f t="shared" si="1"/>
        <v>Approval Threshold</v>
      </c>
    </row>
    <row r="355">
      <c r="A355" s="18" t="s">
        <v>470</v>
      </c>
      <c r="B355" s="22">
        <v>78.0</v>
      </c>
      <c r="C355" s="9">
        <v>5820578.0</v>
      </c>
      <c r="D355" s="9">
        <v>8802618.0</v>
      </c>
      <c r="E355" s="10" t="str">
        <f>IF(C355&gt;percent,"YES","NO")</f>
        <v>NO</v>
      </c>
      <c r="F355" s="19">
        <v>49000.0</v>
      </c>
      <c r="G355" s="12" t="str">
        <f t="shared" si="2"/>
        <v>NOT FUNDED</v>
      </c>
      <c r="H355" s="20">
        <f t="shared" si="3"/>
        <v>513764</v>
      </c>
      <c r="I355" s="14" t="str">
        <f t="shared" si="1"/>
        <v>Approval Threshold</v>
      </c>
    </row>
    <row r="356">
      <c r="A356" s="18" t="s">
        <v>471</v>
      </c>
      <c r="B356" s="22">
        <v>80.0</v>
      </c>
      <c r="C356" s="9">
        <v>5801682.0</v>
      </c>
      <c r="D356" s="9">
        <v>5498188.0</v>
      </c>
      <c r="E356" s="10" t="str">
        <f>IF(C356&gt;percent,"YES","NO")</f>
        <v>NO</v>
      </c>
      <c r="F356" s="19">
        <v>95000.0</v>
      </c>
      <c r="G356" s="12" t="str">
        <f t="shared" si="2"/>
        <v>NOT FUNDED</v>
      </c>
      <c r="H356" s="20">
        <f t="shared" si="3"/>
        <v>513764</v>
      </c>
      <c r="I356" s="14" t="str">
        <f t="shared" si="1"/>
        <v>Approval Threshold</v>
      </c>
    </row>
    <row r="357">
      <c r="A357" s="18" t="s">
        <v>472</v>
      </c>
      <c r="B357" s="22">
        <v>85.0</v>
      </c>
      <c r="C357" s="9">
        <v>5747649.0</v>
      </c>
      <c r="D357" s="9">
        <v>1.3181657E7</v>
      </c>
      <c r="E357" s="10" t="str">
        <f>IF(C357&gt;percent,"YES","NO")</f>
        <v>NO</v>
      </c>
      <c r="F357" s="19">
        <v>76150.0</v>
      </c>
      <c r="G357" s="12" t="str">
        <f t="shared" si="2"/>
        <v>NOT FUNDED</v>
      </c>
      <c r="H357" s="20">
        <f t="shared" si="3"/>
        <v>513764</v>
      </c>
      <c r="I357" s="14" t="str">
        <f t="shared" si="1"/>
        <v>Approval Threshold</v>
      </c>
    </row>
    <row r="358">
      <c r="A358" s="18" t="s">
        <v>473</v>
      </c>
      <c r="B358" s="22">
        <v>80.0</v>
      </c>
      <c r="C358" s="9">
        <v>5725014.0</v>
      </c>
      <c r="D358" s="9">
        <v>2.0400044E7</v>
      </c>
      <c r="E358" s="10" t="str">
        <f>IF(C358&gt;percent,"YES","NO")</f>
        <v>NO</v>
      </c>
      <c r="F358" s="19">
        <v>92000.0</v>
      </c>
      <c r="G358" s="12" t="str">
        <f t="shared" si="2"/>
        <v>NOT FUNDED</v>
      </c>
      <c r="H358" s="20">
        <f t="shared" si="3"/>
        <v>513764</v>
      </c>
      <c r="I358" s="14" t="str">
        <f t="shared" si="1"/>
        <v>Approval Threshold</v>
      </c>
    </row>
    <row r="359">
      <c r="A359" s="18" t="s">
        <v>474</v>
      </c>
      <c r="B359" s="22">
        <v>98.0</v>
      </c>
      <c r="C359" s="9">
        <v>5707099.0</v>
      </c>
      <c r="D359" s="9">
        <v>9042734.0</v>
      </c>
      <c r="E359" s="10" t="str">
        <f>IF(C359&gt;percent,"YES","NO")</f>
        <v>NO</v>
      </c>
      <c r="F359" s="19">
        <v>50000.0</v>
      </c>
      <c r="G359" s="12" t="str">
        <f t="shared" si="2"/>
        <v>NOT FUNDED</v>
      </c>
      <c r="H359" s="20">
        <f t="shared" si="3"/>
        <v>513764</v>
      </c>
      <c r="I359" s="14" t="str">
        <f t="shared" si="1"/>
        <v>Approval Threshold</v>
      </c>
    </row>
    <row r="360">
      <c r="A360" s="18" t="s">
        <v>475</v>
      </c>
      <c r="B360" s="22">
        <v>98.0</v>
      </c>
      <c r="C360" s="9">
        <v>5668716.0</v>
      </c>
      <c r="D360" s="9">
        <v>7984444.0</v>
      </c>
      <c r="E360" s="10" t="str">
        <f>IF(C360&gt;percent,"YES","NO")</f>
        <v>NO</v>
      </c>
      <c r="F360" s="19">
        <v>90000.0</v>
      </c>
      <c r="G360" s="12" t="str">
        <f t="shared" si="2"/>
        <v>NOT FUNDED</v>
      </c>
      <c r="H360" s="20">
        <f t="shared" si="3"/>
        <v>513764</v>
      </c>
      <c r="I360" s="14" t="str">
        <f t="shared" si="1"/>
        <v>Approval Threshold</v>
      </c>
    </row>
    <row r="361">
      <c r="A361" s="18" t="s">
        <v>476</v>
      </c>
      <c r="B361" s="22">
        <v>96.0</v>
      </c>
      <c r="C361" s="9">
        <v>5638372.0</v>
      </c>
      <c r="D361" s="9">
        <v>8310393.0</v>
      </c>
      <c r="E361" s="10" t="str">
        <f>IF(C361&gt;percent,"YES","NO")</f>
        <v>NO</v>
      </c>
      <c r="F361" s="19">
        <v>85000.0</v>
      </c>
      <c r="G361" s="12" t="str">
        <f t="shared" si="2"/>
        <v>NOT FUNDED</v>
      </c>
      <c r="H361" s="20">
        <f t="shared" si="3"/>
        <v>513764</v>
      </c>
      <c r="I361" s="14" t="str">
        <f t="shared" si="1"/>
        <v>Approval Threshold</v>
      </c>
    </row>
    <row r="362">
      <c r="A362" s="18" t="s">
        <v>477</v>
      </c>
      <c r="B362" s="22">
        <v>96.0</v>
      </c>
      <c r="C362" s="9">
        <v>5633568.0</v>
      </c>
      <c r="D362" s="9">
        <v>7622689.0</v>
      </c>
      <c r="E362" s="10" t="str">
        <f>IF(C362&gt;percent,"YES","NO")</f>
        <v>NO</v>
      </c>
      <c r="F362" s="19">
        <v>75988.0</v>
      </c>
      <c r="G362" s="12" t="str">
        <f t="shared" si="2"/>
        <v>NOT FUNDED</v>
      </c>
      <c r="H362" s="20">
        <f t="shared" si="3"/>
        <v>513764</v>
      </c>
      <c r="I362" s="14" t="str">
        <f t="shared" si="1"/>
        <v>Approval Threshold</v>
      </c>
    </row>
    <row r="363">
      <c r="A363" s="18" t="s">
        <v>478</v>
      </c>
      <c r="B363" s="22">
        <v>102.0</v>
      </c>
      <c r="C363" s="9">
        <v>5630332.0</v>
      </c>
      <c r="D363" s="9">
        <v>6621778.0</v>
      </c>
      <c r="E363" s="10" t="str">
        <f>IF(C363&gt;percent,"YES","NO")</f>
        <v>NO</v>
      </c>
      <c r="F363" s="19">
        <v>59211.0</v>
      </c>
      <c r="G363" s="12" t="str">
        <f t="shared" si="2"/>
        <v>NOT FUNDED</v>
      </c>
      <c r="H363" s="20">
        <f t="shared" si="3"/>
        <v>513764</v>
      </c>
      <c r="I363" s="14" t="str">
        <f t="shared" si="1"/>
        <v>Approval Threshold</v>
      </c>
    </row>
    <row r="364">
      <c r="A364" s="18" t="s">
        <v>479</v>
      </c>
      <c r="B364" s="22">
        <v>81.0</v>
      </c>
      <c r="C364" s="9">
        <v>5620659.0</v>
      </c>
      <c r="D364" s="9">
        <v>6512351.0</v>
      </c>
      <c r="E364" s="10" t="str">
        <f>IF(C364&gt;percent,"YES","NO")</f>
        <v>NO</v>
      </c>
      <c r="F364" s="19">
        <v>91000.0</v>
      </c>
      <c r="G364" s="12" t="str">
        <f t="shared" si="2"/>
        <v>NOT FUNDED</v>
      </c>
      <c r="H364" s="20">
        <f t="shared" si="3"/>
        <v>513764</v>
      </c>
      <c r="I364" s="14" t="str">
        <f t="shared" si="1"/>
        <v>Approval Threshold</v>
      </c>
    </row>
    <row r="365">
      <c r="A365" s="18" t="s">
        <v>480</v>
      </c>
      <c r="B365" s="22">
        <v>76.0</v>
      </c>
      <c r="C365" s="9">
        <v>5576166.0</v>
      </c>
      <c r="D365" s="9">
        <v>7266199.0</v>
      </c>
      <c r="E365" s="10" t="str">
        <f>IF(C365&gt;percent,"YES","NO")</f>
        <v>NO</v>
      </c>
      <c r="F365" s="19">
        <v>87000.0</v>
      </c>
      <c r="G365" s="12" t="str">
        <f t="shared" si="2"/>
        <v>NOT FUNDED</v>
      </c>
      <c r="H365" s="20">
        <f t="shared" si="3"/>
        <v>513764</v>
      </c>
      <c r="I365" s="14" t="str">
        <f t="shared" si="1"/>
        <v>Approval Threshold</v>
      </c>
    </row>
    <row r="366">
      <c r="A366" s="18" t="s">
        <v>481</v>
      </c>
      <c r="B366" s="22">
        <v>79.0</v>
      </c>
      <c r="C366" s="9">
        <v>5563605.0</v>
      </c>
      <c r="D366" s="9">
        <v>1.0810123E7</v>
      </c>
      <c r="E366" s="10" t="str">
        <f>IF(C366&gt;percent,"YES","NO")</f>
        <v>NO</v>
      </c>
      <c r="F366" s="19">
        <v>100000.0</v>
      </c>
      <c r="G366" s="12" t="str">
        <f t="shared" si="2"/>
        <v>NOT FUNDED</v>
      </c>
      <c r="H366" s="20">
        <f t="shared" si="3"/>
        <v>513764</v>
      </c>
      <c r="I366" s="14" t="str">
        <f t="shared" si="1"/>
        <v>Approval Threshold</v>
      </c>
    </row>
    <row r="367">
      <c r="A367" s="18" t="s">
        <v>482</v>
      </c>
      <c r="B367" s="22">
        <v>90.0</v>
      </c>
      <c r="C367" s="9">
        <v>5545116.0</v>
      </c>
      <c r="D367" s="9">
        <v>9275294.0</v>
      </c>
      <c r="E367" s="10" t="str">
        <f>IF(C367&gt;percent,"YES","NO")</f>
        <v>NO</v>
      </c>
      <c r="F367" s="19">
        <v>82600.0</v>
      </c>
      <c r="G367" s="12" t="str">
        <f t="shared" si="2"/>
        <v>NOT FUNDED</v>
      </c>
      <c r="H367" s="20">
        <f t="shared" si="3"/>
        <v>513764</v>
      </c>
      <c r="I367" s="14" t="str">
        <f t="shared" si="1"/>
        <v>Approval Threshold</v>
      </c>
    </row>
    <row r="368">
      <c r="A368" s="18" t="s">
        <v>483</v>
      </c>
      <c r="B368" s="22">
        <v>82.0</v>
      </c>
      <c r="C368" s="9">
        <v>5526248.0</v>
      </c>
      <c r="D368" s="9">
        <v>1.2668394E7</v>
      </c>
      <c r="E368" s="10" t="str">
        <f>IF(C368&gt;percent,"YES","NO")</f>
        <v>NO</v>
      </c>
      <c r="F368" s="19">
        <v>100000.0</v>
      </c>
      <c r="G368" s="12" t="str">
        <f t="shared" si="2"/>
        <v>NOT FUNDED</v>
      </c>
      <c r="H368" s="20">
        <f t="shared" si="3"/>
        <v>513764</v>
      </c>
      <c r="I368" s="14" t="str">
        <f t="shared" si="1"/>
        <v>Approval Threshold</v>
      </c>
    </row>
    <row r="369">
      <c r="A369" s="18" t="s">
        <v>484</v>
      </c>
      <c r="B369" s="22">
        <v>84.0</v>
      </c>
      <c r="C369" s="9">
        <v>5470216.0</v>
      </c>
      <c r="D369" s="9">
        <v>7348805.0</v>
      </c>
      <c r="E369" s="10" t="str">
        <f>IF(C369&gt;percent,"YES","NO")</f>
        <v>NO</v>
      </c>
      <c r="F369" s="19">
        <v>95000.0</v>
      </c>
      <c r="G369" s="12" t="str">
        <f t="shared" si="2"/>
        <v>NOT FUNDED</v>
      </c>
      <c r="H369" s="20">
        <f t="shared" si="3"/>
        <v>513764</v>
      </c>
      <c r="I369" s="14" t="str">
        <f t="shared" si="1"/>
        <v>Approval Threshold</v>
      </c>
    </row>
    <row r="370">
      <c r="A370" s="18" t="s">
        <v>485</v>
      </c>
      <c r="B370" s="22">
        <v>96.0</v>
      </c>
      <c r="C370" s="9">
        <v>5467883.0</v>
      </c>
      <c r="D370" s="9">
        <v>1.3216595E7</v>
      </c>
      <c r="E370" s="10" t="str">
        <f>IF(C370&gt;percent,"YES","NO")</f>
        <v>NO</v>
      </c>
      <c r="F370" s="19">
        <v>85000.0</v>
      </c>
      <c r="G370" s="12" t="str">
        <f t="shared" si="2"/>
        <v>NOT FUNDED</v>
      </c>
      <c r="H370" s="20">
        <f t="shared" si="3"/>
        <v>513764</v>
      </c>
      <c r="I370" s="14" t="str">
        <f t="shared" si="1"/>
        <v>Approval Threshold</v>
      </c>
    </row>
    <row r="371">
      <c r="A371" s="18" t="s">
        <v>486</v>
      </c>
      <c r="B371" s="22">
        <v>96.0</v>
      </c>
      <c r="C371" s="9">
        <v>5458605.0</v>
      </c>
      <c r="D371" s="9">
        <v>2.4036842E7</v>
      </c>
      <c r="E371" s="10" t="str">
        <f>IF(C371&gt;percent,"YES","NO")</f>
        <v>NO</v>
      </c>
      <c r="F371" s="19">
        <v>38000.0</v>
      </c>
      <c r="G371" s="12" t="str">
        <f t="shared" si="2"/>
        <v>NOT FUNDED</v>
      </c>
      <c r="H371" s="20">
        <f t="shared" si="3"/>
        <v>513764</v>
      </c>
      <c r="I371" s="14" t="str">
        <f t="shared" si="1"/>
        <v>Approval Threshold</v>
      </c>
    </row>
    <row r="372">
      <c r="A372" s="18" t="s">
        <v>487</v>
      </c>
      <c r="B372" s="22">
        <v>76.0</v>
      </c>
      <c r="C372" s="9">
        <v>5436158.0</v>
      </c>
      <c r="D372" s="9">
        <v>7823216.0</v>
      </c>
      <c r="E372" s="10" t="str">
        <f>IF(C372&gt;percent,"YES","NO")</f>
        <v>NO</v>
      </c>
      <c r="F372" s="19">
        <v>68500.0</v>
      </c>
      <c r="G372" s="12" t="str">
        <f t="shared" si="2"/>
        <v>NOT FUNDED</v>
      </c>
      <c r="H372" s="20">
        <f t="shared" si="3"/>
        <v>513764</v>
      </c>
      <c r="I372" s="14" t="str">
        <f t="shared" si="1"/>
        <v>Approval Threshold</v>
      </c>
    </row>
    <row r="373">
      <c r="A373" s="18" t="s">
        <v>488</v>
      </c>
      <c r="B373" s="22">
        <v>85.0</v>
      </c>
      <c r="C373" s="9">
        <v>5402773.0</v>
      </c>
      <c r="D373" s="9">
        <v>9595320.0</v>
      </c>
      <c r="E373" s="10" t="str">
        <f>IF(C373&gt;percent,"YES","NO")</f>
        <v>NO</v>
      </c>
      <c r="F373" s="19">
        <v>90000.0</v>
      </c>
      <c r="G373" s="12" t="str">
        <f t="shared" si="2"/>
        <v>NOT FUNDED</v>
      </c>
      <c r="H373" s="20">
        <f t="shared" si="3"/>
        <v>513764</v>
      </c>
      <c r="I373" s="14" t="str">
        <f t="shared" si="1"/>
        <v>Approval Threshold</v>
      </c>
    </row>
    <row r="374">
      <c r="A374" s="18" t="s">
        <v>489</v>
      </c>
      <c r="B374" s="22">
        <v>82.0</v>
      </c>
      <c r="C374" s="9">
        <v>5393869.0</v>
      </c>
      <c r="D374" s="9">
        <v>7529548.0</v>
      </c>
      <c r="E374" s="10" t="str">
        <f>IF(C374&gt;percent,"YES","NO")</f>
        <v>NO</v>
      </c>
      <c r="F374" s="19">
        <v>65000.0</v>
      </c>
      <c r="G374" s="12" t="str">
        <f t="shared" si="2"/>
        <v>NOT FUNDED</v>
      </c>
      <c r="H374" s="20">
        <f t="shared" si="3"/>
        <v>513764</v>
      </c>
      <c r="I374" s="14" t="str">
        <f t="shared" si="1"/>
        <v>Approval Threshold</v>
      </c>
    </row>
    <row r="375">
      <c r="A375" s="18" t="s">
        <v>490</v>
      </c>
      <c r="B375" s="22">
        <v>75.0</v>
      </c>
      <c r="C375" s="9">
        <v>5370582.0</v>
      </c>
      <c r="D375" s="9">
        <v>6505574.0</v>
      </c>
      <c r="E375" s="10" t="str">
        <f>IF(C375&gt;percent,"YES","NO")</f>
        <v>NO</v>
      </c>
      <c r="F375" s="19">
        <v>85000.0</v>
      </c>
      <c r="G375" s="12" t="str">
        <f t="shared" si="2"/>
        <v>NOT FUNDED</v>
      </c>
      <c r="H375" s="20">
        <f t="shared" si="3"/>
        <v>513764</v>
      </c>
      <c r="I375" s="14" t="str">
        <f t="shared" si="1"/>
        <v>Approval Threshold</v>
      </c>
    </row>
    <row r="376">
      <c r="A376" s="18" t="s">
        <v>491</v>
      </c>
      <c r="B376" s="22">
        <v>80.0</v>
      </c>
      <c r="C376" s="9">
        <v>5368578.0</v>
      </c>
      <c r="D376" s="9">
        <v>2.3498008E7</v>
      </c>
      <c r="E376" s="10" t="str">
        <f>IF(C376&gt;percent,"YES","NO")</f>
        <v>NO</v>
      </c>
      <c r="F376" s="19">
        <v>42000.0</v>
      </c>
      <c r="G376" s="12" t="str">
        <f t="shared" si="2"/>
        <v>NOT FUNDED</v>
      </c>
      <c r="H376" s="20">
        <f t="shared" si="3"/>
        <v>513764</v>
      </c>
      <c r="I376" s="14" t="str">
        <f t="shared" si="1"/>
        <v>Approval Threshold</v>
      </c>
    </row>
    <row r="377">
      <c r="A377" s="18" t="s">
        <v>492</v>
      </c>
      <c r="B377" s="22">
        <v>98.0</v>
      </c>
      <c r="C377" s="9">
        <v>5331754.0</v>
      </c>
      <c r="D377" s="9">
        <v>1.1802327E7</v>
      </c>
      <c r="E377" s="10" t="str">
        <f>IF(C377&gt;percent,"YES","NO")</f>
        <v>NO</v>
      </c>
      <c r="F377" s="19">
        <v>100000.0</v>
      </c>
      <c r="G377" s="12" t="str">
        <f t="shared" si="2"/>
        <v>NOT FUNDED</v>
      </c>
      <c r="H377" s="20">
        <f t="shared" si="3"/>
        <v>513764</v>
      </c>
      <c r="I377" s="14" t="str">
        <f t="shared" si="1"/>
        <v>Approval Threshold</v>
      </c>
    </row>
    <row r="378">
      <c r="A378" s="18" t="s">
        <v>493</v>
      </c>
      <c r="B378" s="22">
        <v>75.0</v>
      </c>
      <c r="C378" s="9">
        <v>5327610.0</v>
      </c>
      <c r="D378" s="9">
        <v>7228372.0</v>
      </c>
      <c r="E378" s="10" t="str">
        <f>IF(C378&gt;percent,"YES","NO")</f>
        <v>NO</v>
      </c>
      <c r="F378" s="19">
        <v>75000.0</v>
      </c>
      <c r="G378" s="12" t="str">
        <f t="shared" si="2"/>
        <v>NOT FUNDED</v>
      </c>
      <c r="H378" s="20">
        <f t="shared" si="3"/>
        <v>513764</v>
      </c>
      <c r="I378" s="14" t="str">
        <f t="shared" si="1"/>
        <v>Approval Threshold</v>
      </c>
    </row>
    <row r="379">
      <c r="A379" s="18" t="s">
        <v>494</v>
      </c>
      <c r="B379" s="22">
        <v>100.0</v>
      </c>
      <c r="C379" s="9">
        <v>5327483.0</v>
      </c>
      <c r="D379" s="9">
        <v>3.0385155E7</v>
      </c>
      <c r="E379" s="10" t="str">
        <f>IF(C379&gt;percent,"YES","NO")</f>
        <v>NO</v>
      </c>
      <c r="F379" s="19">
        <v>100000.0</v>
      </c>
      <c r="G379" s="12" t="str">
        <f t="shared" si="2"/>
        <v>NOT FUNDED</v>
      </c>
      <c r="H379" s="20">
        <f t="shared" si="3"/>
        <v>513764</v>
      </c>
      <c r="I379" s="14" t="str">
        <f t="shared" si="1"/>
        <v>Approval Threshold</v>
      </c>
    </row>
    <row r="380">
      <c r="A380" s="18" t="s">
        <v>495</v>
      </c>
      <c r="B380" s="22">
        <v>74.0</v>
      </c>
      <c r="C380" s="9">
        <v>5324477.0</v>
      </c>
      <c r="D380" s="9">
        <v>2.2909353E7</v>
      </c>
      <c r="E380" s="10" t="str">
        <f>IF(C380&gt;percent,"YES","NO")</f>
        <v>NO</v>
      </c>
      <c r="F380" s="19">
        <v>80000.0</v>
      </c>
      <c r="G380" s="12" t="str">
        <f t="shared" si="2"/>
        <v>NOT FUNDED</v>
      </c>
      <c r="H380" s="20">
        <f t="shared" si="3"/>
        <v>513764</v>
      </c>
      <c r="I380" s="14" t="str">
        <f t="shared" si="1"/>
        <v>Approval Threshold</v>
      </c>
    </row>
    <row r="381">
      <c r="A381" s="18" t="s">
        <v>496</v>
      </c>
      <c r="B381" s="22">
        <v>84.0</v>
      </c>
      <c r="C381" s="9">
        <v>5296408.0</v>
      </c>
      <c r="D381" s="9">
        <v>2.2760175E7</v>
      </c>
      <c r="E381" s="10" t="str">
        <f>IF(C381&gt;percent,"YES","NO")</f>
        <v>NO</v>
      </c>
      <c r="F381" s="19">
        <v>95000.0</v>
      </c>
      <c r="G381" s="12" t="str">
        <f t="shared" si="2"/>
        <v>NOT FUNDED</v>
      </c>
      <c r="H381" s="20">
        <f t="shared" si="3"/>
        <v>513764</v>
      </c>
      <c r="I381" s="14" t="str">
        <f t="shared" si="1"/>
        <v>Approval Threshold</v>
      </c>
    </row>
    <row r="382">
      <c r="A382" s="18" t="s">
        <v>497</v>
      </c>
      <c r="B382" s="22">
        <v>91.0</v>
      </c>
      <c r="C382" s="9">
        <v>5294474.0</v>
      </c>
      <c r="D382" s="9">
        <v>1.2047371E7</v>
      </c>
      <c r="E382" s="10" t="str">
        <f>IF(C382&gt;percent,"YES","NO")</f>
        <v>NO</v>
      </c>
      <c r="F382" s="19">
        <v>100000.0</v>
      </c>
      <c r="G382" s="12" t="str">
        <f t="shared" si="2"/>
        <v>NOT FUNDED</v>
      </c>
      <c r="H382" s="20">
        <f t="shared" si="3"/>
        <v>513764</v>
      </c>
      <c r="I382" s="14" t="str">
        <f t="shared" si="1"/>
        <v>Approval Threshold</v>
      </c>
    </row>
    <row r="383">
      <c r="A383" s="18" t="s">
        <v>498</v>
      </c>
      <c r="B383" s="22">
        <v>85.0</v>
      </c>
      <c r="C383" s="9">
        <v>5285605.0</v>
      </c>
      <c r="D383" s="9">
        <v>1.0630647E7</v>
      </c>
      <c r="E383" s="10" t="str">
        <f>IF(C383&gt;percent,"YES","NO")</f>
        <v>NO</v>
      </c>
      <c r="F383" s="19">
        <v>83333.0</v>
      </c>
      <c r="G383" s="12" t="str">
        <f t="shared" si="2"/>
        <v>NOT FUNDED</v>
      </c>
      <c r="H383" s="20">
        <f t="shared" si="3"/>
        <v>513764</v>
      </c>
      <c r="I383" s="14" t="str">
        <f t="shared" si="1"/>
        <v>Approval Threshold</v>
      </c>
    </row>
    <row r="384">
      <c r="A384" s="18" t="s">
        <v>499</v>
      </c>
      <c r="B384" s="22">
        <v>68.0</v>
      </c>
      <c r="C384" s="9">
        <v>5240563.0</v>
      </c>
      <c r="D384" s="9">
        <v>5473303.0</v>
      </c>
      <c r="E384" s="10" t="str">
        <f>IF(C384&gt;percent,"YES","NO")</f>
        <v>NO</v>
      </c>
      <c r="F384" s="19">
        <v>30000.0</v>
      </c>
      <c r="G384" s="12" t="str">
        <f t="shared" si="2"/>
        <v>NOT FUNDED</v>
      </c>
      <c r="H384" s="20">
        <f t="shared" si="3"/>
        <v>513764</v>
      </c>
      <c r="I384" s="14" t="str">
        <f t="shared" si="1"/>
        <v>Approval Threshold</v>
      </c>
    </row>
    <row r="385">
      <c r="A385" s="18" t="s">
        <v>500</v>
      </c>
      <c r="B385" s="22">
        <v>82.0</v>
      </c>
      <c r="C385" s="9">
        <v>5234647.0</v>
      </c>
      <c r="D385" s="9">
        <v>2.4292759E7</v>
      </c>
      <c r="E385" s="10" t="str">
        <f>IF(C385&gt;percent,"YES","NO")</f>
        <v>NO</v>
      </c>
      <c r="F385" s="19">
        <v>85000.0</v>
      </c>
      <c r="G385" s="12" t="str">
        <f t="shared" si="2"/>
        <v>NOT FUNDED</v>
      </c>
      <c r="H385" s="20">
        <f t="shared" si="3"/>
        <v>513764</v>
      </c>
      <c r="I385" s="14" t="str">
        <f t="shared" si="1"/>
        <v>Approval Threshold</v>
      </c>
    </row>
    <row r="386">
      <c r="A386" s="18" t="s">
        <v>501</v>
      </c>
      <c r="B386" s="22">
        <v>82.0</v>
      </c>
      <c r="C386" s="9">
        <v>5207291.0</v>
      </c>
      <c r="D386" s="9">
        <v>6714672.0</v>
      </c>
      <c r="E386" s="10" t="str">
        <f>IF(C386&gt;percent,"YES","NO")</f>
        <v>NO</v>
      </c>
      <c r="F386" s="19">
        <v>59700.0</v>
      </c>
      <c r="G386" s="12" t="str">
        <f t="shared" si="2"/>
        <v>NOT FUNDED</v>
      </c>
      <c r="H386" s="20">
        <f t="shared" si="3"/>
        <v>513764</v>
      </c>
      <c r="I386" s="14" t="str">
        <f t="shared" si="1"/>
        <v>Approval Threshold</v>
      </c>
    </row>
    <row r="387">
      <c r="A387" s="18" t="s">
        <v>502</v>
      </c>
      <c r="B387" s="22">
        <v>94.0</v>
      </c>
      <c r="C387" s="9">
        <v>5199018.0</v>
      </c>
      <c r="D387" s="9">
        <v>7782885.0</v>
      </c>
      <c r="E387" s="10" t="str">
        <f>IF(C387&gt;percent,"YES","NO")</f>
        <v>NO</v>
      </c>
      <c r="F387" s="19">
        <v>75000.0</v>
      </c>
      <c r="G387" s="12" t="str">
        <f t="shared" si="2"/>
        <v>NOT FUNDED</v>
      </c>
      <c r="H387" s="20">
        <f t="shared" si="3"/>
        <v>513764</v>
      </c>
      <c r="I387" s="14" t="str">
        <f t="shared" si="1"/>
        <v>Approval Threshold</v>
      </c>
    </row>
    <row r="388">
      <c r="A388" s="18" t="s">
        <v>503</v>
      </c>
      <c r="B388" s="22">
        <v>93.0</v>
      </c>
      <c r="C388" s="9">
        <v>5181683.0</v>
      </c>
      <c r="D388" s="9">
        <v>1.1663164E7</v>
      </c>
      <c r="E388" s="10" t="str">
        <f>IF(C388&gt;percent,"YES","NO")</f>
        <v>NO</v>
      </c>
      <c r="F388" s="19">
        <v>100000.0</v>
      </c>
      <c r="G388" s="12" t="str">
        <f t="shared" si="2"/>
        <v>NOT FUNDED</v>
      </c>
      <c r="H388" s="20">
        <f t="shared" si="3"/>
        <v>513764</v>
      </c>
      <c r="I388" s="14" t="str">
        <f t="shared" si="1"/>
        <v>Approval Threshold</v>
      </c>
    </row>
    <row r="389">
      <c r="A389" s="18" t="s">
        <v>504</v>
      </c>
      <c r="B389" s="22">
        <v>86.0</v>
      </c>
      <c r="C389" s="9">
        <v>5164104.0</v>
      </c>
      <c r="D389" s="9">
        <v>1.228153E7</v>
      </c>
      <c r="E389" s="10" t="str">
        <f>IF(C389&gt;percent,"YES","NO")</f>
        <v>NO</v>
      </c>
      <c r="F389" s="19">
        <v>100000.0</v>
      </c>
      <c r="G389" s="12" t="str">
        <f t="shared" si="2"/>
        <v>NOT FUNDED</v>
      </c>
      <c r="H389" s="20">
        <f t="shared" si="3"/>
        <v>513764</v>
      </c>
      <c r="I389" s="14" t="str">
        <f t="shared" si="1"/>
        <v>Approval Threshold</v>
      </c>
    </row>
    <row r="390">
      <c r="A390" s="18" t="s">
        <v>505</v>
      </c>
      <c r="B390" s="22">
        <v>93.0</v>
      </c>
      <c r="C390" s="9">
        <v>5152536.0</v>
      </c>
      <c r="D390" s="9">
        <v>2.889996E7</v>
      </c>
      <c r="E390" s="10" t="str">
        <f>IF(C390&gt;percent,"YES","NO")</f>
        <v>NO</v>
      </c>
      <c r="F390" s="19">
        <v>88000.0</v>
      </c>
      <c r="G390" s="12" t="str">
        <f t="shared" si="2"/>
        <v>NOT FUNDED</v>
      </c>
      <c r="H390" s="20">
        <f t="shared" si="3"/>
        <v>513764</v>
      </c>
      <c r="I390" s="14" t="str">
        <f t="shared" si="1"/>
        <v>Approval Threshold</v>
      </c>
    </row>
    <row r="391">
      <c r="A391" s="18" t="s">
        <v>506</v>
      </c>
      <c r="B391" s="22">
        <v>87.0</v>
      </c>
      <c r="C391" s="9">
        <v>5151986.0</v>
      </c>
      <c r="D391" s="9">
        <v>1.1413738E7</v>
      </c>
      <c r="E391" s="10" t="str">
        <f>IF(C391&gt;percent,"YES","NO")</f>
        <v>NO</v>
      </c>
      <c r="F391" s="19">
        <v>65000.0</v>
      </c>
      <c r="G391" s="12" t="str">
        <f t="shared" si="2"/>
        <v>NOT FUNDED</v>
      </c>
      <c r="H391" s="20">
        <f t="shared" si="3"/>
        <v>513764</v>
      </c>
      <c r="I391" s="14" t="str">
        <f t="shared" si="1"/>
        <v>Approval Threshold</v>
      </c>
    </row>
    <row r="392">
      <c r="A392" s="18" t="s">
        <v>507</v>
      </c>
      <c r="B392" s="22">
        <v>107.0</v>
      </c>
      <c r="C392" s="9">
        <v>5148041.0</v>
      </c>
      <c r="D392" s="9">
        <v>7779658.0</v>
      </c>
      <c r="E392" s="10" t="str">
        <f>IF(C392&gt;percent,"YES","NO")</f>
        <v>NO</v>
      </c>
      <c r="F392" s="19">
        <v>90000.0</v>
      </c>
      <c r="G392" s="12" t="str">
        <f t="shared" si="2"/>
        <v>NOT FUNDED</v>
      </c>
      <c r="H392" s="20">
        <f t="shared" si="3"/>
        <v>513764</v>
      </c>
      <c r="I392" s="14" t="str">
        <f t="shared" si="1"/>
        <v>Approval Threshold</v>
      </c>
    </row>
    <row r="393">
      <c r="A393" s="18" t="s">
        <v>508</v>
      </c>
      <c r="B393" s="22">
        <v>92.0</v>
      </c>
      <c r="C393" s="9">
        <v>5147719.0</v>
      </c>
      <c r="D393" s="9">
        <v>7867444.0</v>
      </c>
      <c r="E393" s="10" t="str">
        <f>IF(C393&gt;percent,"YES","NO")</f>
        <v>NO</v>
      </c>
      <c r="F393" s="19">
        <v>60000.0</v>
      </c>
      <c r="G393" s="12" t="str">
        <f t="shared" si="2"/>
        <v>NOT FUNDED</v>
      </c>
      <c r="H393" s="20">
        <f t="shared" si="3"/>
        <v>513764</v>
      </c>
      <c r="I393" s="14" t="str">
        <f t="shared" si="1"/>
        <v>Approval Threshold</v>
      </c>
    </row>
    <row r="394">
      <c r="A394" s="18" t="s">
        <v>509</v>
      </c>
      <c r="B394" s="22">
        <v>104.0</v>
      </c>
      <c r="C394" s="9">
        <v>5077080.0</v>
      </c>
      <c r="D394" s="9">
        <v>1.2741421E7</v>
      </c>
      <c r="E394" s="10" t="str">
        <f>IF(C394&gt;percent,"YES","NO")</f>
        <v>NO</v>
      </c>
      <c r="F394" s="19">
        <v>99922.0</v>
      </c>
      <c r="G394" s="12" t="str">
        <f t="shared" si="2"/>
        <v>NOT FUNDED</v>
      </c>
      <c r="H394" s="20">
        <f t="shared" si="3"/>
        <v>513764</v>
      </c>
      <c r="I394" s="14" t="str">
        <f t="shared" si="1"/>
        <v>Approval Threshold</v>
      </c>
    </row>
    <row r="395">
      <c r="A395" s="18" t="s">
        <v>510</v>
      </c>
      <c r="B395" s="22">
        <v>89.0</v>
      </c>
      <c r="C395" s="9">
        <v>5030161.0</v>
      </c>
      <c r="D395" s="9">
        <v>9197886.0</v>
      </c>
      <c r="E395" s="10" t="str">
        <f>IF(C395&gt;percent,"YES","NO")</f>
        <v>NO</v>
      </c>
      <c r="F395" s="19">
        <v>52000.0</v>
      </c>
      <c r="G395" s="12" t="str">
        <f t="shared" si="2"/>
        <v>NOT FUNDED</v>
      </c>
      <c r="H395" s="20">
        <f t="shared" si="3"/>
        <v>513764</v>
      </c>
      <c r="I395" s="14" t="str">
        <f t="shared" si="1"/>
        <v>Approval Threshold</v>
      </c>
    </row>
    <row r="396">
      <c r="A396" s="18" t="s">
        <v>511</v>
      </c>
      <c r="B396" s="22">
        <v>116.0</v>
      </c>
      <c r="C396" s="9">
        <v>5007849.0</v>
      </c>
      <c r="D396" s="9">
        <v>1.4623569E7</v>
      </c>
      <c r="E396" s="10" t="str">
        <f>IF(C396&gt;percent,"YES","NO")</f>
        <v>NO</v>
      </c>
      <c r="F396" s="19">
        <v>100000.0</v>
      </c>
      <c r="G396" s="12" t="str">
        <f t="shared" si="2"/>
        <v>NOT FUNDED</v>
      </c>
      <c r="H396" s="20">
        <f t="shared" si="3"/>
        <v>513764</v>
      </c>
      <c r="I396" s="14" t="str">
        <f t="shared" si="1"/>
        <v>Approval Threshold</v>
      </c>
    </row>
    <row r="397">
      <c r="A397" s="18" t="s">
        <v>512</v>
      </c>
      <c r="B397" s="22">
        <v>84.0</v>
      </c>
      <c r="C397" s="9">
        <v>5003517.0</v>
      </c>
      <c r="D397" s="9">
        <v>6654190.0</v>
      </c>
      <c r="E397" s="10" t="str">
        <f>IF(C397&gt;percent,"YES","NO")</f>
        <v>NO</v>
      </c>
      <c r="F397" s="19">
        <v>47500.0</v>
      </c>
      <c r="G397" s="12" t="str">
        <f t="shared" si="2"/>
        <v>NOT FUNDED</v>
      </c>
      <c r="H397" s="20">
        <f t="shared" si="3"/>
        <v>513764</v>
      </c>
      <c r="I397" s="14" t="str">
        <f t="shared" si="1"/>
        <v>Approval Threshold</v>
      </c>
    </row>
    <row r="398">
      <c r="A398" s="18" t="s">
        <v>513</v>
      </c>
      <c r="B398" s="22">
        <v>87.0</v>
      </c>
      <c r="C398" s="9">
        <v>4988762.0</v>
      </c>
      <c r="D398" s="9">
        <v>6927728.0</v>
      </c>
      <c r="E398" s="10" t="str">
        <f>IF(C398&gt;percent,"YES","NO")</f>
        <v>NO</v>
      </c>
      <c r="F398" s="19">
        <v>69360.0</v>
      </c>
      <c r="G398" s="12" t="str">
        <f t="shared" si="2"/>
        <v>NOT FUNDED</v>
      </c>
      <c r="H398" s="20">
        <f t="shared" si="3"/>
        <v>513764</v>
      </c>
      <c r="I398" s="14" t="str">
        <f t="shared" si="1"/>
        <v>Approval Threshold</v>
      </c>
    </row>
    <row r="399">
      <c r="A399" s="18" t="s">
        <v>514</v>
      </c>
      <c r="B399" s="22">
        <v>105.0</v>
      </c>
      <c r="C399" s="9">
        <v>4984180.0</v>
      </c>
      <c r="D399" s="9">
        <v>1.0017409E7</v>
      </c>
      <c r="E399" s="10" t="str">
        <f>IF(C399&gt;percent,"YES","NO")</f>
        <v>NO</v>
      </c>
      <c r="F399" s="19">
        <v>88500.0</v>
      </c>
      <c r="G399" s="12" t="str">
        <f t="shared" si="2"/>
        <v>NOT FUNDED</v>
      </c>
      <c r="H399" s="20">
        <f t="shared" si="3"/>
        <v>513764</v>
      </c>
      <c r="I399" s="14" t="str">
        <f t="shared" si="1"/>
        <v>Approval Threshold</v>
      </c>
    </row>
    <row r="400">
      <c r="A400" s="18" t="s">
        <v>515</v>
      </c>
      <c r="B400" s="22">
        <v>92.0</v>
      </c>
      <c r="C400" s="9">
        <v>4934286.0</v>
      </c>
      <c r="D400" s="9">
        <v>2.3771999E7</v>
      </c>
      <c r="E400" s="10" t="str">
        <f>IF(C400&gt;percent,"YES","NO")</f>
        <v>NO</v>
      </c>
      <c r="F400" s="19">
        <v>72000.0</v>
      </c>
      <c r="G400" s="12" t="str">
        <f t="shared" si="2"/>
        <v>NOT FUNDED</v>
      </c>
      <c r="H400" s="20">
        <f t="shared" si="3"/>
        <v>513764</v>
      </c>
      <c r="I400" s="14" t="str">
        <f t="shared" si="1"/>
        <v>Approval Threshold</v>
      </c>
    </row>
    <row r="401">
      <c r="A401" s="18" t="s">
        <v>516</v>
      </c>
      <c r="B401" s="22">
        <v>77.0</v>
      </c>
      <c r="C401" s="9">
        <v>4898324.0</v>
      </c>
      <c r="D401" s="9">
        <v>6415691.0</v>
      </c>
      <c r="E401" s="10" t="str">
        <f>IF(C401&gt;percent,"YES","NO")</f>
        <v>NO</v>
      </c>
      <c r="F401" s="19">
        <v>65000.0</v>
      </c>
      <c r="G401" s="12" t="str">
        <f t="shared" si="2"/>
        <v>NOT FUNDED</v>
      </c>
      <c r="H401" s="20">
        <f t="shared" si="3"/>
        <v>513764</v>
      </c>
      <c r="I401" s="14" t="str">
        <f t="shared" si="1"/>
        <v>Approval Threshold</v>
      </c>
    </row>
    <row r="402">
      <c r="A402" s="18" t="s">
        <v>517</v>
      </c>
      <c r="B402" s="22">
        <v>88.0</v>
      </c>
      <c r="C402" s="9">
        <v>4892491.0</v>
      </c>
      <c r="D402" s="9">
        <v>1.2658143E7</v>
      </c>
      <c r="E402" s="10" t="str">
        <f>IF(C402&gt;percent,"YES","NO")</f>
        <v>NO</v>
      </c>
      <c r="F402" s="19">
        <v>60000.0</v>
      </c>
      <c r="G402" s="12" t="str">
        <f t="shared" si="2"/>
        <v>NOT FUNDED</v>
      </c>
      <c r="H402" s="20">
        <f t="shared" si="3"/>
        <v>513764</v>
      </c>
      <c r="I402" s="14" t="str">
        <f t="shared" si="1"/>
        <v>Approval Threshold</v>
      </c>
    </row>
    <row r="403">
      <c r="A403" s="18" t="s">
        <v>518</v>
      </c>
      <c r="B403" s="22">
        <v>98.0</v>
      </c>
      <c r="C403" s="9">
        <v>4882404.0</v>
      </c>
      <c r="D403" s="9">
        <v>8851903.0</v>
      </c>
      <c r="E403" s="10" t="str">
        <f>IF(C403&gt;percent,"YES","NO")</f>
        <v>NO</v>
      </c>
      <c r="F403" s="19">
        <v>82142.0</v>
      </c>
      <c r="G403" s="12" t="str">
        <f t="shared" si="2"/>
        <v>NOT FUNDED</v>
      </c>
      <c r="H403" s="20">
        <f t="shared" si="3"/>
        <v>513764</v>
      </c>
      <c r="I403" s="14" t="str">
        <f t="shared" si="1"/>
        <v>Approval Threshold</v>
      </c>
    </row>
    <row r="404">
      <c r="A404" s="18" t="s">
        <v>519</v>
      </c>
      <c r="B404" s="22">
        <v>75.0</v>
      </c>
      <c r="C404" s="9">
        <v>4851250.0</v>
      </c>
      <c r="D404" s="9">
        <v>9667732.0</v>
      </c>
      <c r="E404" s="10" t="str">
        <f>IF(C404&gt;percent,"YES","NO")</f>
        <v>NO</v>
      </c>
      <c r="F404" s="19">
        <v>100000.0</v>
      </c>
      <c r="G404" s="12" t="str">
        <f t="shared" si="2"/>
        <v>NOT FUNDED</v>
      </c>
      <c r="H404" s="20">
        <f t="shared" si="3"/>
        <v>513764</v>
      </c>
      <c r="I404" s="14" t="str">
        <f t="shared" si="1"/>
        <v>Approval Threshold</v>
      </c>
    </row>
    <row r="405">
      <c r="A405" s="18" t="s">
        <v>520</v>
      </c>
      <c r="B405" s="22">
        <v>108.0</v>
      </c>
      <c r="C405" s="9">
        <v>4818593.0</v>
      </c>
      <c r="D405" s="9">
        <v>1.5836708E7</v>
      </c>
      <c r="E405" s="10" t="str">
        <f>IF(C405&gt;percent,"YES","NO")</f>
        <v>NO</v>
      </c>
      <c r="F405" s="19">
        <v>100000.0</v>
      </c>
      <c r="G405" s="12" t="str">
        <f t="shared" si="2"/>
        <v>NOT FUNDED</v>
      </c>
      <c r="H405" s="20">
        <f t="shared" si="3"/>
        <v>513764</v>
      </c>
      <c r="I405" s="14" t="str">
        <f t="shared" si="1"/>
        <v>Approval Threshold</v>
      </c>
    </row>
    <row r="406">
      <c r="A406" s="18" t="s">
        <v>521</v>
      </c>
      <c r="B406" s="22">
        <v>80.0</v>
      </c>
      <c r="C406" s="9">
        <v>4794019.0</v>
      </c>
      <c r="D406" s="9">
        <v>7979851.0</v>
      </c>
      <c r="E406" s="10" t="str">
        <f>IF(C406&gt;percent,"YES","NO")</f>
        <v>NO</v>
      </c>
      <c r="F406" s="19">
        <v>90000.0</v>
      </c>
      <c r="G406" s="12" t="str">
        <f t="shared" si="2"/>
        <v>NOT FUNDED</v>
      </c>
      <c r="H406" s="20">
        <f t="shared" si="3"/>
        <v>513764</v>
      </c>
      <c r="I406" s="14" t="str">
        <f t="shared" si="1"/>
        <v>Approval Threshold</v>
      </c>
    </row>
    <row r="407">
      <c r="A407" s="18" t="s">
        <v>522</v>
      </c>
      <c r="B407" s="22">
        <v>82.0</v>
      </c>
      <c r="C407" s="9">
        <v>4768013.0</v>
      </c>
      <c r="D407" s="9">
        <v>6706762.0</v>
      </c>
      <c r="E407" s="10" t="str">
        <f>IF(C407&gt;percent,"YES","NO")</f>
        <v>NO</v>
      </c>
      <c r="F407" s="19">
        <v>40000.0</v>
      </c>
      <c r="G407" s="12" t="str">
        <f t="shared" si="2"/>
        <v>NOT FUNDED</v>
      </c>
      <c r="H407" s="20">
        <f t="shared" si="3"/>
        <v>513764</v>
      </c>
      <c r="I407" s="14" t="str">
        <f t="shared" si="1"/>
        <v>Approval Threshold</v>
      </c>
    </row>
    <row r="408">
      <c r="A408" s="18" t="s">
        <v>523</v>
      </c>
      <c r="B408" s="22">
        <v>88.0</v>
      </c>
      <c r="C408" s="9">
        <v>4759740.0</v>
      </c>
      <c r="D408" s="9">
        <v>9446957.0</v>
      </c>
      <c r="E408" s="10" t="str">
        <f>IF(C408&gt;percent,"YES","NO")</f>
        <v>NO</v>
      </c>
      <c r="F408" s="19">
        <v>25000.0</v>
      </c>
      <c r="G408" s="12" t="str">
        <f t="shared" si="2"/>
        <v>NOT FUNDED</v>
      </c>
      <c r="H408" s="20">
        <f t="shared" si="3"/>
        <v>513764</v>
      </c>
      <c r="I408" s="14" t="str">
        <f t="shared" si="1"/>
        <v>Approval Threshold</v>
      </c>
    </row>
    <row r="409">
      <c r="A409" s="18" t="s">
        <v>524</v>
      </c>
      <c r="B409" s="22">
        <v>96.0</v>
      </c>
      <c r="C409" s="9">
        <v>4739889.0</v>
      </c>
      <c r="D409" s="9">
        <v>8064417.0</v>
      </c>
      <c r="E409" s="10" t="str">
        <f>IF(C409&gt;percent,"YES","NO")</f>
        <v>NO</v>
      </c>
      <c r="F409" s="19">
        <v>60000.0</v>
      </c>
      <c r="G409" s="12" t="str">
        <f t="shared" si="2"/>
        <v>NOT FUNDED</v>
      </c>
      <c r="H409" s="20">
        <f t="shared" si="3"/>
        <v>513764</v>
      </c>
      <c r="I409" s="14" t="str">
        <f t="shared" si="1"/>
        <v>Approval Threshold</v>
      </c>
    </row>
    <row r="410">
      <c r="A410" s="18" t="s">
        <v>525</v>
      </c>
      <c r="B410" s="22">
        <v>76.0</v>
      </c>
      <c r="C410" s="9">
        <v>4733621.0</v>
      </c>
      <c r="D410" s="9">
        <v>1.0320134E7</v>
      </c>
      <c r="E410" s="10" t="str">
        <f>IF(C410&gt;percent,"YES","NO")</f>
        <v>NO</v>
      </c>
      <c r="F410" s="19">
        <v>100000.0</v>
      </c>
      <c r="G410" s="12" t="str">
        <f t="shared" si="2"/>
        <v>NOT FUNDED</v>
      </c>
      <c r="H410" s="20">
        <f t="shared" si="3"/>
        <v>513764</v>
      </c>
      <c r="I410" s="14" t="str">
        <f t="shared" si="1"/>
        <v>Approval Threshold</v>
      </c>
    </row>
    <row r="411">
      <c r="A411" s="18" t="s">
        <v>526</v>
      </c>
      <c r="B411" s="22">
        <v>89.0</v>
      </c>
      <c r="C411" s="9">
        <v>4708069.0</v>
      </c>
      <c r="D411" s="9">
        <v>1.2130506E7</v>
      </c>
      <c r="E411" s="10" t="str">
        <f>IF(C411&gt;percent,"YES","NO")</f>
        <v>NO</v>
      </c>
      <c r="F411" s="19">
        <v>100000.0</v>
      </c>
      <c r="G411" s="12" t="str">
        <f t="shared" si="2"/>
        <v>NOT FUNDED</v>
      </c>
      <c r="H411" s="20">
        <f t="shared" si="3"/>
        <v>513764</v>
      </c>
      <c r="I411" s="14" t="str">
        <f t="shared" si="1"/>
        <v>Approval Threshold</v>
      </c>
    </row>
    <row r="412">
      <c r="A412" s="18" t="s">
        <v>527</v>
      </c>
      <c r="B412" s="22">
        <v>79.0</v>
      </c>
      <c r="C412" s="9">
        <v>4704991.0</v>
      </c>
      <c r="D412" s="9">
        <v>1.2664623E7</v>
      </c>
      <c r="E412" s="10" t="str">
        <f>IF(C412&gt;percent,"YES","NO")</f>
        <v>NO</v>
      </c>
      <c r="F412" s="19">
        <v>30000.0</v>
      </c>
      <c r="G412" s="12" t="str">
        <f t="shared" si="2"/>
        <v>NOT FUNDED</v>
      </c>
      <c r="H412" s="20">
        <f t="shared" si="3"/>
        <v>513764</v>
      </c>
      <c r="I412" s="14" t="str">
        <f t="shared" si="1"/>
        <v>Approval Threshold</v>
      </c>
    </row>
    <row r="413">
      <c r="A413" s="18" t="s">
        <v>528</v>
      </c>
      <c r="B413" s="22">
        <v>88.0</v>
      </c>
      <c r="C413" s="9">
        <v>4699690.0</v>
      </c>
      <c r="D413" s="9">
        <v>9602036.0</v>
      </c>
      <c r="E413" s="10" t="str">
        <f>IF(C413&gt;percent,"YES","NO")</f>
        <v>NO</v>
      </c>
      <c r="F413" s="19">
        <v>55000.0</v>
      </c>
      <c r="G413" s="12" t="str">
        <f t="shared" si="2"/>
        <v>NOT FUNDED</v>
      </c>
      <c r="H413" s="20">
        <f t="shared" si="3"/>
        <v>513764</v>
      </c>
      <c r="I413" s="14" t="str">
        <f t="shared" si="1"/>
        <v>Approval Threshold</v>
      </c>
    </row>
    <row r="414">
      <c r="A414" s="18" t="s">
        <v>529</v>
      </c>
      <c r="B414" s="22">
        <v>81.0</v>
      </c>
      <c r="C414" s="9">
        <v>4516387.0</v>
      </c>
      <c r="D414" s="9">
        <v>2.5979722E7</v>
      </c>
      <c r="E414" s="10" t="str">
        <f>IF(C414&gt;percent,"YES","NO")</f>
        <v>NO</v>
      </c>
      <c r="F414" s="19">
        <v>100000.0</v>
      </c>
      <c r="G414" s="12" t="str">
        <f t="shared" si="2"/>
        <v>NOT FUNDED</v>
      </c>
      <c r="H414" s="20">
        <f t="shared" si="3"/>
        <v>513764</v>
      </c>
      <c r="I414" s="14" t="str">
        <f t="shared" si="1"/>
        <v>Approval Threshold</v>
      </c>
    </row>
    <row r="415">
      <c r="A415" s="18" t="s">
        <v>530</v>
      </c>
      <c r="B415" s="22">
        <v>77.0</v>
      </c>
      <c r="C415" s="9">
        <v>4506409.0</v>
      </c>
      <c r="D415" s="9">
        <v>6551056.0</v>
      </c>
      <c r="E415" s="10" t="str">
        <f>IF(C415&gt;percent,"YES","NO")</f>
        <v>NO</v>
      </c>
      <c r="F415" s="19">
        <v>97000.0</v>
      </c>
      <c r="G415" s="12" t="str">
        <f t="shared" si="2"/>
        <v>NOT FUNDED</v>
      </c>
      <c r="H415" s="20">
        <f t="shared" si="3"/>
        <v>513764</v>
      </c>
      <c r="I415" s="14" t="str">
        <f t="shared" si="1"/>
        <v>Approval Threshold</v>
      </c>
    </row>
    <row r="416">
      <c r="A416" s="18" t="s">
        <v>531</v>
      </c>
      <c r="B416" s="22">
        <v>101.0</v>
      </c>
      <c r="C416" s="9">
        <v>4501922.0</v>
      </c>
      <c r="D416" s="9">
        <v>8713594.0</v>
      </c>
      <c r="E416" s="10" t="str">
        <f>IF(C416&gt;percent,"YES","NO")</f>
        <v>NO</v>
      </c>
      <c r="F416" s="19">
        <v>60000.0</v>
      </c>
      <c r="G416" s="12" t="str">
        <f t="shared" si="2"/>
        <v>NOT FUNDED</v>
      </c>
      <c r="H416" s="20">
        <f t="shared" si="3"/>
        <v>513764</v>
      </c>
      <c r="I416" s="14" t="str">
        <f t="shared" si="1"/>
        <v>Approval Threshold</v>
      </c>
    </row>
    <row r="417">
      <c r="A417" s="18" t="s">
        <v>532</v>
      </c>
      <c r="B417" s="22">
        <v>78.0</v>
      </c>
      <c r="C417" s="9">
        <v>4474292.0</v>
      </c>
      <c r="D417" s="9">
        <v>1.0044196E7</v>
      </c>
      <c r="E417" s="10" t="str">
        <f>IF(C417&gt;percent,"YES","NO")</f>
        <v>NO</v>
      </c>
      <c r="F417" s="19">
        <v>65000.0</v>
      </c>
      <c r="G417" s="12" t="str">
        <f t="shared" si="2"/>
        <v>NOT FUNDED</v>
      </c>
      <c r="H417" s="20">
        <f t="shared" si="3"/>
        <v>513764</v>
      </c>
      <c r="I417" s="14" t="str">
        <f t="shared" si="1"/>
        <v>Approval Threshold</v>
      </c>
    </row>
    <row r="418">
      <c r="A418" s="18" t="s">
        <v>533</v>
      </c>
      <c r="B418" s="22">
        <v>82.0</v>
      </c>
      <c r="C418" s="9">
        <v>4420904.0</v>
      </c>
      <c r="D418" s="9">
        <v>8867180.0</v>
      </c>
      <c r="E418" s="10" t="str">
        <f>IF(C418&gt;percent,"YES","NO")</f>
        <v>NO</v>
      </c>
      <c r="F418" s="19">
        <v>65000.0</v>
      </c>
      <c r="G418" s="12" t="str">
        <f t="shared" si="2"/>
        <v>NOT FUNDED</v>
      </c>
      <c r="H418" s="20">
        <f t="shared" si="3"/>
        <v>513764</v>
      </c>
      <c r="I418" s="14" t="str">
        <f t="shared" si="1"/>
        <v>Approval Threshold</v>
      </c>
    </row>
    <row r="419">
      <c r="A419" s="18" t="s">
        <v>534</v>
      </c>
      <c r="B419" s="22">
        <v>76.0</v>
      </c>
      <c r="C419" s="9">
        <v>4420898.0</v>
      </c>
      <c r="D419" s="9">
        <v>6625001.0</v>
      </c>
      <c r="E419" s="10" t="str">
        <f>IF(C419&gt;percent,"YES","NO")</f>
        <v>NO</v>
      </c>
      <c r="F419" s="19">
        <v>79000.0</v>
      </c>
      <c r="G419" s="12" t="str">
        <f t="shared" si="2"/>
        <v>NOT FUNDED</v>
      </c>
      <c r="H419" s="20">
        <f t="shared" si="3"/>
        <v>513764</v>
      </c>
      <c r="I419" s="14" t="str">
        <f t="shared" si="1"/>
        <v>Approval Threshold</v>
      </c>
    </row>
    <row r="420">
      <c r="A420" s="18" t="s">
        <v>535</v>
      </c>
      <c r="B420" s="22">
        <v>79.0</v>
      </c>
      <c r="C420" s="9">
        <v>4367165.0</v>
      </c>
      <c r="D420" s="9">
        <v>2.3115576E7</v>
      </c>
      <c r="E420" s="10" t="str">
        <f>IF(C420&gt;percent,"YES","NO")</f>
        <v>NO</v>
      </c>
      <c r="F420" s="19">
        <v>92000.0</v>
      </c>
      <c r="G420" s="12" t="str">
        <f t="shared" si="2"/>
        <v>NOT FUNDED</v>
      </c>
      <c r="H420" s="20">
        <f t="shared" si="3"/>
        <v>513764</v>
      </c>
      <c r="I420" s="14" t="str">
        <f t="shared" si="1"/>
        <v>Approval Threshold</v>
      </c>
    </row>
    <row r="421">
      <c r="A421" s="18" t="s">
        <v>536</v>
      </c>
      <c r="B421" s="22">
        <v>81.0</v>
      </c>
      <c r="C421" s="9">
        <v>4343155.0</v>
      </c>
      <c r="D421" s="9">
        <v>1.1240419E7</v>
      </c>
      <c r="E421" s="10" t="str">
        <f>IF(C421&gt;percent,"YES","NO")</f>
        <v>NO</v>
      </c>
      <c r="F421" s="19">
        <v>100000.0</v>
      </c>
      <c r="G421" s="12" t="str">
        <f t="shared" si="2"/>
        <v>NOT FUNDED</v>
      </c>
      <c r="H421" s="20">
        <f t="shared" si="3"/>
        <v>513764</v>
      </c>
      <c r="I421" s="14" t="str">
        <f t="shared" si="1"/>
        <v>Approval Threshold</v>
      </c>
    </row>
    <row r="422">
      <c r="A422" s="18" t="s">
        <v>537</v>
      </c>
      <c r="B422" s="22">
        <v>79.0</v>
      </c>
      <c r="C422" s="9">
        <v>4327443.0</v>
      </c>
      <c r="D422" s="9">
        <v>7867622.0</v>
      </c>
      <c r="E422" s="10" t="str">
        <f>IF(C422&gt;percent,"YES","NO")</f>
        <v>NO</v>
      </c>
      <c r="F422" s="19">
        <v>56000.0</v>
      </c>
      <c r="G422" s="12" t="str">
        <f t="shared" si="2"/>
        <v>NOT FUNDED</v>
      </c>
      <c r="H422" s="20">
        <f t="shared" si="3"/>
        <v>513764</v>
      </c>
      <c r="I422" s="14" t="str">
        <f t="shared" si="1"/>
        <v>Approval Threshold</v>
      </c>
    </row>
    <row r="423">
      <c r="A423" s="18" t="s">
        <v>538</v>
      </c>
      <c r="B423" s="22">
        <v>75.0</v>
      </c>
      <c r="C423" s="9">
        <v>4302256.0</v>
      </c>
      <c r="D423" s="9">
        <v>9605528.0</v>
      </c>
      <c r="E423" s="10" t="str">
        <f>IF(C423&gt;percent,"YES","NO")</f>
        <v>NO</v>
      </c>
      <c r="F423" s="19">
        <v>90000.0</v>
      </c>
      <c r="G423" s="12" t="str">
        <f t="shared" si="2"/>
        <v>NOT FUNDED</v>
      </c>
      <c r="H423" s="20">
        <f t="shared" si="3"/>
        <v>513764</v>
      </c>
      <c r="I423" s="14" t="str">
        <f t="shared" si="1"/>
        <v>Approval Threshold</v>
      </c>
    </row>
    <row r="424">
      <c r="A424" s="18" t="s">
        <v>539</v>
      </c>
      <c r="B424" s="22">
        <v>94.0</v>
      </c>
      <c r="C424" s="9">
        <v>4293868.0</v>
      </c>
      <c r="D424" s="9">
        <v>2.7226997E7</v>
      </c>
      <c r="E424" s="10" t="str">
        <f>IF(C424&gt;percent,"YES","NO")</f>
        <v>NO</v>
      </c>
      <c r="F424" s="19">
        <v>100000.0</v>
      </c>
      <c r="G424" s="12" t="str">
        <f t="shared" si="2"/>
        <v>NOT FUNDED</v>
      </c>
      <c r="H424" s="20">
        <f t="shared" si="3"/>
        <v>513764</v>
      </c>
      <c r="I424" s="14" t="str">
        <f t="shared" si="1"/>
        <v>Approval Threshold</v>
      </c>
    </row>
    <row r="425">
      <c r="A425" s="18" t="s">
        <v>540</v>
      </c>
      <c r="B425" s="22">
        <v>81.0</v>
      </c>
      <c r="C425" s="9">
        <v>4276457.0</v>
      </c>
      <c r="D425" s="9">
        <v>8031585.0</v>
      </c>
      <c r="E425" s="10" t="str">
        <f>IF(C425&gt;percent,"YES","NO")</f>
        <v>NO</v>
      </c>
      <c r="F425" s="19">
        <v>70000.0</v>
      </c>
      <c r="G425" s="12" t="str">
        <f t="shared" si="2"/>
        <v>NOT FUNDED</v>
      </c>
      <c r="H425" s="20">
        <f t="shared" si="3"/>
        <v>513764</v>
      </c>
      <c r="I425" s="14" t="str">
        <f t="shared" si="1"/>
        <v>Approval Threshold</v>
      </c>
    </row>
    <row r="426">
      <c r="A426" s="18" t="s">
        <v>541</v>
      </c>
      <c r="B426" s="22">
        <v>79.0</v>
      </c>
      <c r="C426" s="9">
        <v>4261185.0</v>
      </c>
      <c r="D426" s="9">
        <v>6626476.0</v>
      </c>
      <c r="E426" s="10" t="str">
        <f>IF(C426&gt;percent,"YES","NO")</f>
        <v>NO</v>
      </c>
      <c r="F426" s="19">
        <v>35000.0</v>
      </c>
      <c r="G426" s="12" t="str">
        <f t="shared" si="2"/>
        <v>NOT FUNDED</v>
      </c>
      <c r="H426" s="20">
        <f t="shared" si="3"/>
        <v>513764</v>
      </c>
      <c r="I426" s="14" t="str">
        <f t="shared" si="1"/>
        <v>Approval Threshold</v>
      </c>
    </row>
    <row r="427">
      <c r="A427" s="18" t="s">
        <v>542</v>
      </c>
      <c r="B427" s="22">
        <v>76.0</v>
      </c>
      <c r="C427" s="9">
        <v>4254930.0</v>
      </c>
      <c r="D427" s="9">
        <v>6451787.0</v>
      </c>
      <c r="E427" s="10" t="str">
        <f>IF(C427&gt;percent,"YES","NO")</f>
        <v>NO</v>
      </c>
      <c r="F427" s="19">
        <v>57000.0</v>
      </c>
      <c r="G427" s="12" t="str">
        <f t="shared" si="2"/>
        <v>NOT FUNDED</v>
      </c>
      <c r="H427" s="20">
        <f t="shared" si="3"/>
        <v>513764</v>
      </c>
      <c r="I427" s="14" t="str">
        <f t="shared" si="1"/>
        <v>Approval Threshold</v>
      </c>
    </row>
    <row r="428">
      <c r="A428" s="18" t="s">
        <v>543</v>
      </c>
      <c r="B428" s="22">
        <v>79.0</v>
      </c>
      <c r="C428" s="9">
        <v>4237176.0</v>
      </c>
      <c r="D428" s="9">
        <v>7800417.0</v>
      </c>
      <c r="E428" s="10" t="str">
        <f>IF(C428&gt;percent,"YES","NO")</f>
        <v>NO</v>
      </c>
      <c r="F428" s="19">
        <v>90000.0</v>
      </c>
      <c r="G428" s="12" t="str">
        <f t="shared" si="2"/>
        <v>NOT FUNDED</v>
      </c>
      <c r="H428" s="20">
        <f t="shared" si="3"/>
        <v>513764</v>
      </c>
      <c r="I428" s="14" t="str">
        <f t="shared" si="1"/>
        <v>Approval Threshold</v>
      </c>
    </row>
    <row r="429">
      <c r="A429" s="18" t="s">
        <v>544</v>
      </c>
      <c r="B429" s="22">
        <v>81.0</v>
      </c>
      <c r="C429" s="9">
        <v>4207974.0</v>
      </c>
      <c r="D429" s="9">
        <v>2.2091325E7</v>
      </c>
      <c r="E429" s="10" t="str">
        <f>IF(C429&gt;percent,"YES","NO")</f>
        <v>NO</v>
      </c>
      <c r="F429" s="19">
        <v>54000.0</v>
      </c>
      <c r="G429" s="12" t="str">
        <f t="shared" si="2"/>
        <v>NOT FUNDED</v>
      </c>
      <c r="H429" s="20">
        <f t="shared" si="3"/>
        <v>513764</v>
      </c>
      <c r="I429" s="14" t="str">
        <f t="shared" si="1"/>
        <v>Approval Threshold</v>
      </c>
    </row>
    <row r="430">
      <c r="A430" s="18" t="s">
        <v>545</v>
      </c>
      <c r="B430" s="22">
        <v>74.0</v>
      </c>
      <c r="C430" s="9">
        <v>4201176.0</v>
      </c>
      <c r="D430" s="9">
        <v>6914320.0</v>
      </c>
      <c r="E430" s="10" t="str">
        <f>IF(C430&gt;percent,"YES","NO")</f>
        <v>NO</v>
      </c>
      <c r="F430" s="19">
        <v>98000.0</v>
      </c>
      <c r="G430" s="12" t="str">
        <f t="shared" si="2"/>
        <v>NOT FUNDED</v>
      </c>
      <c r="H430" s="20">
        <f t="shared" si="3"/>
        <v>513764</v>
      </c>
      <c r="I430" s="14" t="str">
        <f t="shared" si="1"/>
        <v>Approval Threshold</v>
      </c>
    </row>
    <row r="431">
      <c r="A431" s="18" t="s">
        <v>546</v>
      </c>
      <c r="B431" s="22">
        <v>78.0</v>
      </c>
      <c r="C431" s="9">
        <v>4193734.0</v>
      </c>
      <c r="D431" s="9">
        <v>6331888.0</v>
      </c>
      <c r="E431" s="10" t="str">
        <f>IF(C431&gt;percent,"YES","NO")</f>
        <v>NO</v>
      </c>
      <c r="F431" s="19">
        <v>95000.0</v>
      </c>
      <c r="G431" s="12" t="str">
        <f t="shared" si="2"/>
        <v>NOT FUNDED</v>
      </c>
      <c r="H431" s="20">
        <f t="shared" si="3"/>
        <v>513764</v>
      </c>
      <c r="I431" s="14" t="str">
        <f t="shared" si="1"/>
        <v>Approval Threshold</v>
      </c>
    </row>
    <row r="432">
      <c r="A432" s="18" t="s">
        <v>547</v>
      </c>
      <c r="B432" s="22">
        <v>81.0</v>
      </c>
      <c r="C432" s="9">
        <v>4192188.0</v>
      </c>
      <c r="D432" s="9">
        <v>1.1769583E7</v>
      </c>
      <c r="E432" s="10" t="str">
        <f>IF(C432&gt;percent,"YES","NO")</f>
        <v>NO</v>
      </c>
      <c r="F432" s="19">
        <v>50000.0</v>
      </c>
      <c r="G432" s="12" t="str">
        <f t="shared" si="2"/>
        <v>NOT FUNDED</v>
      </c>
      <c r="H432" s="20">
        <f t="shared" si="3"/>
        <v>513764</v>
      </c>
      <c r="I432" s="14" t="str">
        <f t="shared" si="1"/>
        <v>Approval Threshold</v>
      </c>
    </row>
    <row r="433">
      <c r="A433" s="18" t="s">
        <v>548</v>
      </c>
      <c r="B433" s="22">
        <v>87.0</v>
      </c>
      <c r="C433" s="9">
        <v>4155074.0</v>
      </c>
      <c r="D433" s="9">
        <v>7814816.0</v>
      </c>
      <c r="E433" s="10" t="str">
        <f>IF(C433&gt;percent,"YES","NO")</f>
        <v>NO</v>
      </c>
      <c r="F433" s="19">
        <v>38000.0</v>
      </c>
      <c r="G433" s="12" t="str">
        <f t="shared" si="2"/>
        <v>NOT FUNDED</v>
      </c>
      <c r="H433" s="20">
        <f t="shared" si="3"/>
        <v>513764</v>
      </c>
      <c r="I433" s="14" t="str">
        <f t="shared" si="1"/>
        <v>Approval Threshold</v>
      </c>
    </row>
    <row r="434">
      <c r="A434" s="18" t="s">
        <v>549</v>
      </c>
      <c r="B434" s="22">
        <v>78.0</v>
      </c>
      <c r="C434" s="9">
        <v>4151558.0</v>
      </c>
      <c r="D434" s="9">
        <v>7265306.0</v>
      </c>
      <c r="E434" s="10" t="str">
        <f>IF(C434&gt;percent,"YES","NO")</f>
        <v>NO</v>
      </c>
      <c r="F434" s="19">
        <v>90000.0</v>
      </c>
      <c r="G434" s="12" t="str">
        <f t="shared" si="2"/>
        <v>NOT FUNDED</v>
      </c>
      <c r="H434" s="20">
        <f t="shared" si="3"/>
        <v>513764</v>
      </c>
      <c r="I434" s="14" t="str">
        <f t="shared" si="1"/>
        <v>Approval Threshold</v>
      </c>
    </row>
    <row r="435">
      <c r="A435" s="18" t="s">
        <v>550</v>
      </c>
      <c r="B435" s="22">
        <v>80.0</v>
      </c>
      <c r="C435" s="9">
        <v>4149340.0</v>
      </c>
      <c r="D435" s="9">
        <v>2.2648851E7</v>
      </c>
      <c r="E435" s="10" t="str">
        <f>IF(C435&gt;percent,"YES","NO")</f>
        <v>NO</v>
      </c>
      <c r="F435" s="19">
        <v>70000.0</v>
      </c>
      <c r="G435" s="12" t="str">
        <f t="shared" si="2"/>
        <v>NOT FUNDED</v>
      </c>
      <c r="H435" s="20">
        <f t="shared" si="3"/>
        <v>513764</v>
      </c>
      <c r="I435" s="14" t="str">
        <f t="shared" si="1"/>
        <v>Approval Threshold</v>
      </c>
    </row>
    <row r="436">
      <c r="A436" s="18" t="s">
        <v>551</v>
      </c>
      <c r="B436" s="22">
        <v>104.0</v>
      </c>
      <c r="C436" s="9">
        <v>4124160.0</v>
      </c>
      <c r="D436" s="9">
        <v>3.185083E7</v>
      </c>
      <c r="E436" s="10" t="str">
        <f>IF(C436&gt;percent,"YES","NO")</f>
        <v>NO</v>
      </c>
      <c r="F436" s="19">
        <v>100000.0</v>
      </c>
      <c r="G436" s="12" t="str">
        <f t="shared" si="2"/>
        <v>NOT FUNDED</v>
      </c>
      <c r="H436" s="20">
        <f t="shared" si="3"/>
        <v>513764</v>
      </c>
      <c r="I436" s="14" t="str">
        <f t="shared" si="1"/>
        <v>Approval Threshold</v>
      </c>
    </row>
    <row r="437">
      <c r="A437" s="18" t="s">
        <v>552</v>
      </c>
      <c r="B437" s="22">
        <v>85.0</v>
      </c>
      <c r="C437" s="9">
        <v>4090771.0</v>
      </c>
      <c r="D437" s="9">
        <v>9195845.0</v>
      </c>
      <c r="E437" s="10" t="str">
        <f>IF(C437&gt;percent,"YES","NO")</f>
        <v>NO</v>
      </c>
      <c r="F437" s="19">
        <v>68000.0</v>
      </c>
      <c r="G437" s="12" t="str">
        <f t="shared" si="2"/>
        <v>NOT FUNDED</v>
      </c>
      <c r="H437" s="20">
        <f t="shared" si="3"/>
        <v>513764</v>
      </c>
      <c r="I437" s="14" t="str">
        <f t="shared" si="1"/>
        <v>Approval Threshold</v>
      </c>
    </row>
    <row r="438">
      <c r="A438" s="18" t="s">
        <v>553</v>
      </c>
      <c r="B438" s="22">
        <v>84.0</v>
      </c>
      <c r="C438" s="9">
        <v>4045022.0</v>
      </c>
      <c r="D438" s="9">
        <v>2.3342109E7</v>
      </c>
      <c r="E438" s="10" t="str">
        <f>IF(C438&gt;percent,"YES","NO")</f>
        <v>NO</v>
      </c>
      <c r="F438" s="19">
        <v>89730.0</v>
      </c>
      <c r="G438" s="12" t="str">
        <f t="shared" si="2"/>
        <v>NOT FUNDED</v>
      </c>
      <c r="H438" s="20">
        <f t="shared" si="3"/>
        <v>513764</v>
      </c>
      <c r="I438" s="14" t="str">
        <f t="shared" si="1"/>
        <v>Approval Threshold</v>
      </c>
    </row>
    <row r="439">
      <c r="A439" s="18" t="s">
        <v>554</v>
      </c>
      <c r="B439" s="22">
        <v>73.0</v>
      </c>
      <c r="C439" s="9">
        <v>3977839.0</v>
      </c>
      <c r="D439" s="9">
        <v>2.2360038E7</v>
      </c>
      <c r="E439" s="10" t="str">
        <f>IF(C439&gt;percent,"YES","NO")</f>
        <v>NO</v>
      </c>
      <c r="F439" s="19">
        <v>90000.0</v>
      </c>
      <c r="G439" s="12" t="str">
        <f t="shared" si="2"/>
        <v>NOT FUNDED</v>
      </c>
      <c r="H439" s="20">
        <f t="shared" si="3"/>
        <v>513764</v>
      </c>
      <c r="I439" s="14" t="str">
        <f t="shared" si="1"/>
        <v>Approval Threshold</v>
      </c>
    </row>
    <row r="440">
      <c r="A440" s="18" t="s">
        <v>555</v>
      </c>
      <c r="B440" s="22">
        <v>79.0</v>
      </c>
      <c r="C440" s="9">
        <v>3969499.0</v>
      </c>
      <c r="D440" s="9">
        <v>7848244.0</v>
      </c>
      <c r="E440" s="10" t="str">
        <f>IF(C440&gt;percent,"YES","NO")</f>
        <v>NO</v>
      </c>
      <c r="F440" s="19">
        <v>88000.0</v>
      </c>
      <c r="G440" s="12" t="str">
        <f t="shared" si="2"/>
        <v>NOT FUNDED</v>
      </c>
      <c r="H440" s="20">
        <f t="shared" si="3"/>
        <v>513764</v>
      </c>
      <c r="I440" s="14" t="str">
        <f t="shared" si="1"/>
        <v>Approval Threshold</v>
      </c>
    </row>
    <row r="441">
      <c r="A441" s="18" t="s">
        <v>556</v>
      </c>
      <c r="B441" s="22">
        <v>83.0</v>
      </c>
      <c r="C441" s="9">
        <v>3954021.0</v>
      </c>
      <c r="D441" s="9">
        <v>9195812.0</v>
      </c>
      <c r="E441" s="10" t="str">
        <f>IF(C441&gt;percent,"YES","NO")</f>
        <v>NO</v>
      </c>
      <c r="F441" s="19">
        <v>70000.0</v>
      </c>
      <c r="G441" s="12" t="str">
        <f t="shared" si="2"/>
        <v>NOT FUNDED</v>
      </c>
      <c r="H441" s="20">
        <f t="shared" si="3"/>
        <v>513764</v>
      </c>
      <c r="I441" s="14" t="str">
        <f t="shared" si="1"/>
        <v>Approval Threshold</v>
      </c>
    </row>
    <row r="442">
      <c r="A442" s="18" t="s">
        <v>557</v>
      </c>
      <c r="B442" s="22">
        <v>72.0</v>
      </c>
      <c r="C442" s="9">
        <v>3935701.0</v>
      </c>
      <c r="D442" s="9">
        <v>7001394.0</v>
      </c>
      <c r="E442" s="10" t="str">
        <f>IF(C442&gt;percent,"YES","NO")</f>
        <v>NO</v>
      </c>
      <c r="F442" s="19">
        <v>74000.0</v>
      </c>
      <c r="G442" s="12" t="str">
        <f t="shared" si="2"/>
        <v>NOT FUNDED</v>
      </c>
      <c r="H442" s="20">
        <f t="shared" si="3"/>
        <v>513764</v>
      </c>
      <c r="I442" s="14" t="str">
        <f t="shared" si="1"/>
        <v>Approval Threshold</v>
      </c>
    </row>
    <row r="443">
      <c r="A443" s="18" t="s">
        <v>558</v>
      </c>
      <c r="B443" s="22">
        <v>77.0</v>
      </c>
      <c r="C443" s="9">
        <v>3934917.0</v>
      </c>
      <c r="D443" s="9">
        <v>7070545.0</v>
      </c>
      <c r="E443" s="10" t="str">
        <f>IF(C443&gt;percent,"YES","NO")</f>
        <v>NO</v>
      </c>
      <c r="F443" s="19">
        <v>60000.0</v>
      </c>
      <c r="G443" s="12" t="str">
        <f t="shared" si="2"/>
        <v>NOT FUNDED</v>
      </c>
      <c r="H443" s="20">
        <f t="shared" si="3"/>
        <v>513764</v>
      </c>
      <c r="I443" s="14" t="str">
        <f t="shared" si="1"/>
        <v>Approval Threshold</v>
      </c>
    </row>
    <row r="444">
      <c r="A444" s="18" t="s">
        <v>559</v>
      </c>
      <c r="B444" s="22">
        <v>81.0</v>
      </c>
      <c r="C444" s="9">
        <v>3927931.0</v>
      </c>
      <c r="D444" s="9">
        <v>2.8059161E7</v>
      </c>
      <c r="E444" s="10" t="str">
        <f>IF(C444&gt;percent,"YES","NO")</f>
        <v>NO</v>
      </c>
      <c r="F444" s="19">
        <v>100000.0</v>
      </c>
      <c r="G444" s="12" t="str">
        <f t="shared" si="2"/>
        <v>NOT FUNDED</v>
      </c>
      <c r="H444" s="20">
        <f t="shared" si="3"/>
        <v>513764</v>
      </c>
      <c r="I444" s="14" t="str">
        <f t="shared" si="1"/>
        <v>Approval Threshold</v>
      </c>
    </row>
    <row r="445">
      <c r="A445" s="18" t="s">
        <v>560</v>
      </c>
      <c r="B445" s="22">
        <v>90.0</v>
      </c>
      <c r="C445" s="9">
        <v>3923208.0</v>
      </c>
      <c r="D445" s="9">
        <v>9567077.0</v>
      </c>
      <c r="E445" s="10" t="str">
        <f>IF(C445&gt;percent,"YES","NO")</f>
        <v>NO</v>
      </c>
      <c r="F445" s="19">
        <v>99000.0</v>
      </c>
      <c r="G445" s="12" t="str">
        <f t="shared" si="2"/>
        <v>NOT FUNDED</v>
      </c>
      <c r="H445" s="20">
        <f t="shared" si="3"/>
        <v>513764</v>
      </c>
      <c r="I445" s="14" t="str">
        <f t="shared" si="1"/>
        <v>Approval Threshold</v>
      </c>
    </row>
    <row r="446">
      <c r="A446" s="18" t="s">
        <v>561</v>
      </c>
      <c r="B446" s="22">
        <v>72.0</v>
      </c>
      <c r="C446" s="9">
        <v>3891344.0</v>
      </c>
      <c r="D446" s="9">
        <v>8247766.0</v>
      </c>
      <c r="E446" s="10" t="str">
        <f>IF(C446&gt;percent,"YES","NO")</f>
        <v>NO</v>
      </c>
      <c r="F446" s="19">
        <v>72000.0</v>
      </c>
      <c r="G446" s="12" t="str">
        <f t="shared" si="2"/>
        <v>NOT FUNDED</v>
      </c>
      <c r="H446" s="20">
        <f t="shared" si="3"/>
        <v>513764</v>
      </c>
      <c r="I446" s="14" t="str">
        <f t="shared" si="1"/>
        <v>Approval Threshold</v>
      </c>
    </row>
    <row r="447">
      <c r="A447" s="18" t="s">
        <v>562</v>
      </c>
      <c r="B447" s="22">
        <v>84.0</v>
      </c>
      <c r="C447" s="9">
        <v>3809952.0</v>
      </c>
      <c r="D447" s="9">
        <v>8340484.0</v>
      </c>
      <c r="E447" s="10" t="str">
        <f>IF(C447&gt;percent,"YES","NO")</f>
        <v>NO</v>
      </c>
      <c r="F447" s="19">
        <v>75000.0</v>
      </c>
      <c r="G447" s="12" t="str">
        <f t="shared" si="2"/>
        <v>NOT FUNDED</v>
      </c>
      <c r="H447" s="20">
        <f t="shared" si="3"/>
        <v>513764</v>
      </c>
      <c r="I447" s="14" t="str">
        <f t="shared" si="1"/>
        <v>Approval Threshold</v>
      </c>
    </row>
    <row r="448">
      <c r="A448" s="18" t="s">
        <v>563</v>
      </c>
      <c r="B448" s="22">
        <v>93.0</v>
      </c>
      <c r="C448" s="9">
        <v>3804235.0</v>
      </c>
      <c r="D448" s="9">
        <v>2.3608323E7</v>
      </c>
      <c r="E448" s="10" t="str">
        <f>IF(C448&gt;percent,"YES","NO")</f>
        <v>NO</v>
      </c>
      <c r="F448" s="19">
        <v>35000.0</v>
      </c>
      <c r="G448" s="12" t="str">
        <f t="shared" si="2"/>
        <v>NOT FUNDED</v>
      </c>
      <c r="H448" s="20">
        <f t="shared" si="3"/>
        <v>513764</v>
      </c>
      <c r="I448" s="14" t="str">
        <f t="shared" si="1"/>
        <v>Approval Threshold</v>
      </c>
    </row>
    <row r="449">
      <c r="A449" s="18" t="s">
        <v>564</v>
      </c>
      <c r="B449" s="22">
        <v>88.0</v>
      </c>
      <c r="C449" s="9">
        <v>3773358.0</v>
      </c>
      <c r="D449" s="9">
        <v>1.544784E7</v>
      </c>
      <c r="E449" s="10" t="str">
        <f>IF(C449&gt;percent,"YES","NO")</f>
        <v>NO</v>
      </c>
      <c r="F449" s="19">
        <v>80000.0</v>
      </c>
      <c r="G449" s="12" t="str">
        <f t="shared" si="2"/>
        <v>NOT FUNDED</v>
      </c>
      <c r="H449" s="20">
        <f t="shared" si="3"/>
        <v>513764</v>
      </c>
      <c r="I449" s="14" t="str">
        <f t="shared" si="1"/>
        <v>Approval Threshold</v>
      </c>
    </row>
    <row r="450">
      <c r="A450" s="18" t="s">
        <v>565</v>
      </c>
      <c r="B450" s="22">
        <v>72.0</v>
      </c>
      <c r="C450" s="9">
        <v>3765106.0</v>
      </c>
      <c r="D450" s="9">
        <v>6602931.0</v>
      </c>
      <c r="E450" s="10" t="str">
        <f>IF(C450&gt;percent,"YES","NO")</f>
        <v>NO</v>
      </c>
      <c r="F450" s="19">
        <v>54010.0</v>
      </c>
      <c r="G450" s="12" t="str">
        <f t="shared" si="2"/>
        <v>NOT FUNDED</v>
      </c>
      <c r="H450" s="20">
        <f t="shared" si="3"/>
        <v>513764</v>
      </c>
      <c r="I450" s="14" t="str">
        <f t="shared" si="1"/>
        <v>Approval Threshold</v>
      </c>
    </row>
    <row r="451">
      <c r="A451" s="18" t="s">
        <v>566</v>
      </c>
      <c r="B451" s="22">
        <v>84.0</v>
      </c>
      <c r="C451" s="9">
        <v>3473397.0</v>
      </c>
      <c r="D451" s="9">
        <v>1.2466264E7</v>
      </c>
      <c r="E451" s="10" t="str">
        <f>IF(C451&gt;percent,"YES","NO")</f>
        <v>NO</v>
      </c>
      <c r="F451" s="19">
        <v>100000.0</v>
      </c>
      <c r="G451" s="12" t="str">
        <f t="shared" si="2"/>
        <v>NOT FUNDED</v>
      </c>
      <c r="H451" s="20">
        <f t="shared" si="3"/>
        <v>513764</v>
      </c>
      <c r="I451" s="14" t="str">
        <f t="shared" si="1"/>
        <v>Approval Threshold</v>
      </c>
    </row>
    <row r="452">
      <c r="A452" s="18" t="s">
        <v>567</v>
      </c>
      <c r="B452" s="22">
        <v>82.0</v>
      </c>
      <c r="C452" s="9">
        <v>3358937.0</v>
      </c>
      <c r="D452" s="9">
        <v>2.777454E7</v>
      </c>
      <c r="E452" s="10" t="str">
        <f>IF(C452&gt;percent,"YES","NO")</f>
        <v>NO</v>
      </c>
      <c r="F452" s="19">
        <v>100000.0</v>
      </c>
      <c r="G452" s="12" t="str">
        <f t="shared" si="2"/>
        <v>NOT FUNDED</v>
      </c>
      <c r="H452" s="20">
        <f t="shared" si="3"/>
        <v>513764</v>
      </c>
      <c r="I452" s="14" t="str">
        <f t="shared" si="1"/>
        <v>Approval Threshold</v>
      </c>
    </row>
    <row r="453">
      <c r="A453" s="18" t="s">
        <v>568</v>
      </c>
      <c r="B453" s="22">
        <v>81.0</v>
      </c>
      <c r="C453" s="9">
        <v>3290726.0</v>
      </c>
      <c r="D453" s="9">
        <v>1.1475801E7</v>
      </c>
      <c r="E453" s="10" t="str">
        <f>IF(C453&gt;percent,"YES","NO")</f>
        <v>NO</v>
      </c>
      <c r="F453" s="19">
        <v>59700.0</v>
      </c>
      <c r="G453" s="12" t="str">
        <f t="shared" si="2"/>
        <v>NOT FUNDED</v>
      </c>
      <c r="H453" s="20">
        <f t="shared" si="3"/>
        <v>513764</v>
      </c>
      <c r="I453" s="14" t="str">
        <f t="shared" si="1"/>
        <v>Approval Threshold</v>
      </c>
    </row>
    <row r="454">
      <c r="A454" s="18" t="s">
        <v>569</v>
      </c>
      <c r="B454" s="22">
        <v>90.0</v>
      </c>
      <c r="C454" s="9">
        <v>3198171.0</v>
      </c>
      <c r="D454" s="9">
        <v>1.5655049E7</v>
      </c>
      <c r="E454" s="10" t="str">
        <f>IF(C454&gt;percent,"YES","NO")</f>
        <v>NO</v>
      </c>
      <c r="F454" s="19">
        <v>100000.0</v>
      </c>
      <c r="G454" s="12" t="str">
        <f t="shared" si="2"/>
        <v>NOT FUNDED</v>
      </c>
      <c r="H454" s="20">
        <f t="shared" si="3"/>
        <v>513764</v>
      </c>
      <c r="I454" s="14" t="str">
        <f t="shared" si="1"/>
        <v>Approval Threshold</v>
      </c>
    </row>
    <row r="455">
      <c r="A455" s="18" t="s">
        <v>570</v>
      </c>
      <c r="B455" s="22">
        <v>83.0</v>
      </c>
      <c r="C455" s="9">
        <v>3187745.0</v>
      </c>
      <c r="D455" s="9">
        <v>9755382.0</v>
      </c>
      <c r="E455" s="10" t="str">
        <f>IF(C455&gt;percent,"YES","NO")</f>
        <v>NO</v>
      </c>
      <c r="F455" s="19">
        <v>88000.0</v>
      </c>
      <c r="G455" s="12" t="str">
        <f t="shared" si="2"/>
        <v>NOT FUNDED</v>
      </c>
      <c r="H455" s="20">
        <f t="shared" si="3"/>
        <v>513764</v>
      </c>
      <c r="I455" s="14" t="str">
        <f t="shared" si="1"/>
        <v>Approval Threshold</v>
      </c>
    </row>
    <row r="456">
      <c r="A456" s="18" t="s">
        <v>571</v>
      </c>
      <c r="B456" s="22">
        <v>81.0</v>
      </c>
      <c r="C456" s="9">
        <v>3181022.0</v>
      </c>
      <c r="D456" s="9">
        <v>2.4223734E7</v>
      </c>
      <c r="E456" s="10" t="str">
        <f>IF(C456&gt;percent,"YES","NO")</f>
        <v>NO</v>
      </c>
      <c r="F456" s="19">
        <v>60000.0</v>
      </c>
      <c r="G456" s="12" t="str">
        <f t="shared" si="2"/>
        <v>NOT FUNDED</v>
      </c>
      <c r="H456" s="20">
        <f t="shared" si="3"/>
        <v>513764</v>
      </c>
      <c r="I456" s="14" t="str">
        <f t="shared" si="1"/>
        <v>Approval Threshold</v>
      </c>
    </row>
    <row r="457">
      <c r="A457" s="18" t="s">
        <v>572</v>
      </c>
      <c r="B457" s="22">
        <v>81.0</v>
      </c>
      <c r="C457" s="9">
        <v>3101746.0</v>
      </c>
      <c r="D457" s="9">
        <v>2.4777144E7</v>
      </c>
      <c r="E457" s="10" t="str">
        <f>IF(C457&gt;percent,"YES","NO")</f>
        <v>NO</v>
      </c>
      <c r="F457" s="19">
        <v>47058.0</v>
      </c>
      <c r="G457" s="12" t="str">
        <f t="shared" si="2"/>
        <v>NOT FUNDED</v>
      </c>
      <c r="H457" s="20">
        <f t="shared" si="3"/>
        <v>513764</v>
      </c>
      <c r="I457" s="14" t="str">
        <f t="shared" si="1"/>
        <v>Approval Threshold</v>
      </c>
    </row>
    <row r="458">
      <c r="A458" s="18" t="s">
        <v>573</v>
      </c>
      <c r="B458" s="22">
        <v>74.0</v>
      </c>
      <c r="C458" s="9">
        <v>3029655.0</v>
      </c>
      <c r="D458" s="9">
        <v>8225299.0</v>
      </c>
      <c r="E458" s="10" t="str">
        <f>IF(C458&gt;percent,"YES","NO")</f>
        <v>NO</v>
      </c>
      <c r="F458" s="19">
        <v>75000.0</v>
      </c>
      <c r="G458" s="12" t="str">
        <f t="shared" si="2"/>
        <v>NOT FUNDED</v>
      </c>
      <c r="H458" s="20">
        <f t="shared" si="3"/>
        <v>513764</v>
      </c>
      <c r="I458" s="14" t="str">
        <f t="shared" si="1"/>
        <v>Approval Threshold</v>
      </c>
    </row>
    <row r="459">
      <c r="A459" s="18" t="s">
        <v>574</v>
      </c>
      <c r="B459" s="22">
        <v>90.0</v>
      </c>
      <c r="C459" s="9">
        <v>3029545.0</v>
      </c>
      <c r="D459" s="9">
        <v>1.5804531E7</v>
      </c>
      <c r="E459" s="10" t="str">
        <f>IF(C459&gt;percent,"YES","NO")</f>
        <v>NO</v>
      </c>
      <c r="F459" s="19">
        <v>100000.0</v>
      </c>
      <c r="G459" s="12" t="str">
        <f t="shared" si="2"/>
        <v>NOT FUNDED</v>
      </c>
      <c r="H459" s="20">
        <f t="shared" si="3"/>
        <v>513764</v>
      </c>
      <c r="I459" s="14" t="str">
        <f t="shared" si="1"/>
        <v>Approval Threshold</v>
      </c>
    </row>
    <row r="460">
      <c r="A460" s="18" t="s">
        <v>575</v>
      </c>
      <c r="B460" s="22">
        <v>84.0</v>
      </c>
      <c r="C460" s="9">
        <v>2992557.0</v>
      </c>
      <c r="D460" s="9">
        <v>1.3799226E7</v>
      </c>
      <c r="E460" s="10" t="str">
        <f>IF(C460&gt;percent,"YES","NO")</f>
        <v>NO</v>
      </c>
      <c r="F460" s="19">
        <v>100000.0</v>
      </c>
      <c r="G460" s="12" t="str">
        <f t="shared" si="2"/>
        <v>NOT FUNDED</v>
      </c>
      <c r="H460" s="20">
        <f t="shared" si="3"/>
        <v>513764</v>
      </c>
      <c r="I460" s="14" t="str">
        <f t="shared" si="1"/>
        <v>Approval Threshold</v>
      </c>
    </row>
    <row r="461">
      <c r="A461" s="18" t="s">
        <v>576</v>
      </c>
      <c r="B461" s="22">
        <v>76.0</v>
      </c>
      <c r="C461" s="9">
        <v>2898328.0</v>
      </c>
      <c r="D461" s="9">
        <v>8517336.0</v>
      </c>
      <c r="E461" s="10" t="str">
        <f>IF(C461&gt;percent,"YES","NO")</f>
        <v>NO</v>
      </c>
      <c r="F461" s="19">
        <v>92000.0</v>
      </c>
      <c r="G461" s="12" t="str">
        <f t="shared" si="2"/>
        <v>NOT FUNDED</v>
      </c>
      <c r="H461" s="20">
        <f t="shared" si="3"/>
        <v>513764</v>
      </c>
      <c r="I461" s="14" t="str">
        <f t="shared" si="1"/>
        <v>Approval Threshold</v>
      </c>
    </row>
  </sheetData>
  <autoFilter ref="$A$1:$F$461">
    <sortState ref="A1:F461">
      <sortCondition descending="1" ref="C1:C461"/>
    </sortState>
  </autoFilter>
  <conditionalFormatting sqref="G2:G461">
    <cfRule type="cellIs" dxfId="0" priority="1" operator="equal">
      <formula>"FUNDED"</formula>
    </cfRule>
  </conditionalFormatting>
  <conditionalFormatting sqref="G2:G461">
    <cfRule type="cellIs" dxfId="1" priority="2" operator="equal">
      <formula>"NOT FUNDED"</formula>
    </cfRule>
  </conditionalFormatting>
  <conditionalFormatting sqref="I2:I461">
    <cfRule type="cellIs" dxfId="0" priority="3" operator="greaterThan">
      <formula>999</formula>
    </cfRule>
  </conditionalFormatting>
  <conditionalFormatting sqref="I2:I461">
    <cfRule type="cellIs" dxfId="0" priority="4" operator="greaterThan">
      <formula>999</formula>
    </cfRule>
  </conditionalFormatting>
  <conditionalFormatting sqref="I2:I461">
    <cfRule type="containsText" dxfId="1" priority="5" operator="containsText" text="NOT FUNDED">
      <formula>NOT(ISERROR(SEARCH(("NOT FUNDED"),(I2))))</formula>
    </cfRule>
  </conditionalFormatting>
  <conditionalFormatting sqref="I2:I461">
    <cfRule type="cellIs" dxfId="2" priority="6" operator="equal">
      <formula>"Over Budget"</formula>
    </cfRule>
  </conditionalFormatting>
  <conditionalFormatting sqref="I2:I461">
    <cfRule type="cellIs" dxfId="1" priority="7" operator="equal">
      <formula>"Approval Threshold"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</hyperlinks>
  <drawing r:id="rId4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4.0"/>
    <col customWidth="1" min="3" max="4" width="17.88"/>
    <col customWidth="1" min="5" max="5" width="11.88"/>
    <col customWidth="1" min="6" max="6" width="15.63"/>
    <col customWidth="1" min="7" max="7" width="12.25"/>
    <col customWidth="1" min="8" max="8" width="13.25"/>
    <col customWidth="1" min="9" max="9" width="2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7" t="s">
        <v>7</v>
      </c>
      <c r="I1" s="6" t="s">
        <v>8</v>
      </c>
    </row>
    <row r="2">
      <c r="A2" s="18" t="s">
        <v>577</v>
      </c>
      <c r="B2" s="8">
        <v>420.0</v>
      </c>
      <c r="C2" s="9">
        <v>2.69500092E8</v>
      </c>
      <c r="D2" s="9">
        <v>6248518.0</v>
      </c>
      <c r="E2" s="10" t="str">
        <f>IF(C2&gt;percent,"YES","NO")</f>
        <v>YES</v>
      </c>
      <c r="F2" s="19">
        <v>100000.0</v>
      </c>
      <c r="G2" s="12" t="str">
        <f>If(dev&gt;=F2,IF(E2="Yes","FUNDED","NOT FUNDED"),"NOT FUNDED")</f>
        <v>FUNDED</v>
      </c>
      <c r="H2" s="20">
        <f>If(dev&gt;=F2,dev-F2,dev)</f>
        <v>3000000</v>
      </c>
      <c r="I2" s="14" t="str">
        <f t="shared" ref="I2:I265" si="1">If(E2="YES",IF(G2="FUNDED","","Over Budget"),"Approval Threshold")</f>
        <v/>
      </c>
    </row>
    <row r="3">
      <c r="A3" s="18" t="s">
        <v>578</v>
      </c>
      <c r="B3" s="8">
        <v>328.0</v>
      </c>
      <c r="C3" s="9">
        <v>2.32863468E8</v>
      </c>
      <c r="D3" s="9">
        <v>8385581.0</v>
      </c>
      <c r="E3" s="10" t="str">
        <f>IF(C3&gt;percent,"YES","NO")</f>
        <v>YES</v>
      </c>
      <c r="F3" s="19">
        <v>100000.0</v>
      </c>
      <c r="G3" s="12" t="str">
        <f t="shared" ref="G3:G265" si="2">If(H2&gt;=F3,IF(E3="Yes","FUNDED","NOT FUNDED"),"NOT FUNDED")</f>
        <v>FUNDED</v>
      </c>
      <c r="H3" s="20">
        <f t="shared" ref="H3:H265" si="3">If(G3="FUNDED",IF(H2&gt;=F3,(H2-F3),H2),H2)</f>
        <v>2900000</v>
      </c>
      <c r="I3" s="14" t="str">
        <f t="shared" si="1"/>
        <v/>
      </c>
    </row>
    <row r="4">
      <c r="A4" s="18" t="s">
        <v>579</v>
      </c>
      <c r="B4" s="8">
        <v>420.0</v>
      </c>
      <c r="C4" s="9">
        <v>1.97292905E8</v>
      </c>
      <c r="D4" s="9">
        <v>1.1531538E7</v>
      </c>
      <c r="E4" s="10" t="str">
        <f>IF(C4&gt;percent,"YES","NO")</f>
        <v>YES</v>
      </c>
      <c r="F4" s="19">
        <v>100000.0</v>
      </c>
      <c r="G4" s="12" t="str">
        <f t="shared" si="2"/>
        <v>FUNDED</v>
      </c>
      <c r="H4" s="20">
        <f t="shared" si="3"/>
        <v>2800000</v>
      </c>
      <c r="I4" s="14" t="str">
        <f t="shared" si="1"/>
        <v/>
      </c>
    </row>
    <row r="5">
      <c r="A5" s="18" t="s">
        <v>580</v>
      </c>
      <c r="B5" s="8">
        <v>165.0</v>
      </c>
      <c r="C5" s="9">
        <v>1.78008783E8</v>
      </c>
      <c r="D5" s="9">
        <v>1.235746E7</v>
      </c>
      <c r="E5" s="10" t="str">
        <f>IF(C5&gt;percent,"YES","NO")</f>
        <v>YES</v>
      </c>
      <c r="F5" s="19">
        <v>100000.0</v>
      </c>
      <c r="G5" s="12" t="str">
        <f t="shared" si="2"/>
        <v>FUNDED</v>
      </c>
      <c r="H5" s="20">
        <f t="shared" si="3"/>
        <v>2700000</v>
      </c>
      <c r="I5" s="14" t="str">
        <f t="shared" si="1"/>
        <v/>
      </c>
    </row>
    <row r="6">
      <c r="A6" s="18" t="s">
        <v>581</v>
      </c>
      <c r="B6" s="8">
        <v>273.0</v>
      </c>
      <c r="C6" s="9">
        <v>1.7706413E8</v>
      </c>
      <c r="D6" s="9">
        <v>1.0770594E7</v>
      </c>
      <c r="E6" s="10" t="str">
        <f>IF(C6&gt;percent,"YES","NO")</f>
        <v>YES</v>
      </c>
      <c r="F6" s="19">
        <v>100000.0</v>
      </c>
      <c r="G6" s="12" t="str">
        <f t="shared" si="2"/>
        <v>FUNDED</v>
      </c>
      <c r="H6" s="20">
        <f t="shared" si="3"/>
        <v>2600000</v>
      </c>
      <c r="I6" s="14" t="str">
        <f t="shared" si="1"/>
        <v/>
      </c>
    </row>
    <row r="7">
      <c r="A7" s="18" t="s">
        <v>582</v>
      </c>
      <c r="B7" s="8">
        <v>398.0</v>
      </c>
      <c r="C7" s="9">
        <v>1.48559715E8</v>
      </c>
      <c r="D7" s="9">
        <v>5546761.0</v>
      </c>
      <c r="E7" s="10" t="str">
        <f>IF(C7&gt;percent,"YES","NO")</f>
        <v>YES</v>
      </c>
      <c r="F7" s="19">
        <v>50000.0</v>
      </c>
      <c r="G7" s="12" t="str">
        <f t="shared" si="2"/>
        <v>FUNDED</v>
      </c>
      <c r="H7" s="20">
        <f t="shared" si="3"/>
        <v>2550000</v>
      </c>
      <c r="I7" s="14" t="str">
        <f t="shared" si="1"/>
        <v/>
      </c>
    </row>
    <row r="8">
      <c r="A8" s="18" t="s">
        <v>583</v>
      </c>
      <c r="B8" s="8">
        <v>334.0</v>
      </c>
      <c r="C8" s="9">
        <v>1.39687044E8</v>
      </c>
      <c r="D8" s="9">
        <v>9632366.0</v>
      </c>
      <c r="E8" s="10" t="str">
        <f>IF(C8&gt;percent,"YES","NO")</f>
        <v>YES</v>
      </c>
      <c r="F8" s="19">
        <v>100000.0</v>
      </c>
      <c r="G8" s="12" t="str">
        <f t="shared" si="2"/>
        <v>FUNDED</v>
      </c>
      <c r="H8" s="20">
        <f t="shared" si="3"/>
        <v>2450000</v>
      </c>
      <c r="I8" s="14" t="str">
        <f t="shared" si="1"/>
        <v/>
      </c>
    </row>
    <row r="9">
      <c r="A9" s="18" t="s">
        <v>584</v>
      </c>
      <c r="B9" s="8">
        <v>313.0</v>
      </c>
      <c r="C9" s="9">
        <v>1.2862013E8</v>
      </c>
      <c r="D9" s="9">
        <v>7654809.0</v>
      </c>
      <c r="E9" s="10" t="str">
        <f>IF(C9&gt;percent,"YES","NO")</f>
        <v>YES</v>
      </c>
      <c r="F9" s="19">
        <v>75000.0</v>
      </c>
      <c r="G9" s="12" t="str">
        <f t="shared" si="2"/>
        <v>FUNDED</v>
      </c>
      <c r="H9" s="20">
        <f t="shared" si="3"/>
        <v>2375000</v>
      </c>
      <c r="I9" s="14" t="str">
        <f t="shared" si="1"/>
        <v/>
      </c>
    </row>
    <row r="10">
      <c r="A10" s="18" t="s">
        <v>585</v>
      </c>
      <c r="B10" s="8">
        <v>247.0</v>
      </c>
      <c r="C10" s="9">
        <v>1.2473793E8</v>
      </c>
      <c r="D10" s="9">
        <v>6213356.0</v>
      </c>
      <c r="E10" s="10" t="str">
        <f>IF(C10&gt;percent,"YES","NO")</f>
        <v>YES</v>
      </c>
      <c r="F10" s="19">
        <v>95000.0</v>
      </c>
      <c r="G10" s="12" t="str">
        <f t="shared" si="2"/>
        <v>FUNDED</v>
      </c>
      <c r="H10" s="20">
        <f t="shared" si="3"/>
        <v>2280000</v>
      </c>
      <c r="I10" s="14" t="str">
        <f t="shared" si="1"/>
        <v/>
      </c>
    </row>
    <row r="11">
      <c r="A11" s="18" t="s">
        <v>586</v>
      </c>
      <c r="B11" s="8">
        <v>208.0</v>
      </c>
      <c r="C11" s="9">
        <v>1.19182963E8</v>
      </c>
      <c r="D11" s="9">
        <v>5934548.0</v>
      </c>
      <c r="E11" s="10" t="str">
        <f>IF(C11&gt;percent,"YES","NO")</f>
        <v>YES</v>
      </c>
      <c r="F11" s="19">
        <v>80000.0</v>
      </c>
      <c r="G11" s="12" t="str">
        <f t="shared" si="2"/>
        <v>FUNDED</v>
      </c>
      <c r="H11" s="20">
        <f t="shared" si="3"/>
        <v>2200000</v>
      </c>
      <c r="I11" s="14" t="str">
        <f t="shared" si="1"/>
        <v/>
      </c>
    </row>
    <row r="12">
      <c r="A12" s="18" t="s">
        <v>587</v>
      </c>
      <c r="B12" s="8">
        <v>225.0</v>
      </c>
      <c r="C12" s="9">
        <v>1.14731362E8</v>
      </c>
      <c r="D12" s="9">
        <v>2.3609236E7</v>
      </c>
      <c r="E12" s="10" t="str">
        <f>IF(C12&gt;percent,"YES","NO")</f>
        <v>YES</v>
      </c>
      <c r="F12" s="19">
        <v>100000.0</v>
      </c>
      <c r="G12" s="12" t="str">
        <f t="shared" si="2"/>
        <v>FUNDED</v>
      </c>
      <c r="H12" s="20">
        <f t="shared" si="3"/>
        <v>2100000</v>
      </c>
      <c r="I12" s="14" t="str">
        <f t="shared" si="1"/>
        <v/>
      </c>
    </row>
    <row r="13">
      <c r="A13" s="18" t="s">
        <v>588</v>
      </c>
      <c r="B13" s="8">
        <v>145.0</v>
      </c>
      <c r="C13" s="9">
        <v>1.13989817E8</v>
      </c>
      <c r="D13" s="9">
        <v>6768470.0</v>
      </c>
      <c r="E13" s="10" t="str">
        <f>IF(C13&gt;percent,"YES","NO")</f>
        <v>YES</v>
      </c>
      <c r="F13" s="19">
        <v>64000.0</v>
      </c>
      <c r="G13" s="12" t="str">
        <f t="shared" si="2"/>
        <v>FUNDED</v>
      </c>
      <c r="H13" s="20">
        <f t="shared" si="3"/>
        <v>2036000</v>
      </c>
      <c r="I13" s="14" t="str">
        <f t="shared" si="1"/>
        <v/>
      </c>
    </row>
    <row r="14">
      <c r="A14" s="18" t="s">
        <v>589</v>
      </c>
      <c r="B14" s="8">
        <v>181.0</v>
      </c>
      <c r="C14" s="9">
        <v>1.10885964E8</v>
      </c>
      <c r="D14" s="9">
        <v>7356549.0</v>
      </c>
      <c r="E14" s="10" t="str">
        <f>IF(C14&gt;percent,"YES","NO")</f>
        <v>YES</v>
      </c>
      <c r="F14" s="19">
        <v>85000.0</v>
      </c>
      <c r="G14" s="12" t="str">
        <f t="shared" si="2"/>
        <v>FUNDED</v>
      </c>
      <c r="H14" s="20">
        <f t="shared" si="3"/>
        <v>1951000</v>
      </c>
      <c r="I14" s="14" t="str">
        <f t="shared" si="1"/>
        <v/>
      </c>
    </row>
    <row r="15">
      <c r="A15" s="18" t="s">
        <v>590</v>
      </c>
      <c r="B15" s="8">
        <v>316.0</v>
      </c>
      <c r="C15" s="9">
        <v>1.05891602E8</v>
      </c>
      <c r="D15" s="9">
        <v>6505754.0</v>
      </c>
      <c r="E15" s="10" t="str">
        <f>IF(C15&gt;percent,"YES","NO")</f>
        <v>YES</v>
      </c>
      <c r="F15" s="19">
        <v>97917.0</v>
      </c>
      <c r="G15" s="12" t="str">
        <f t="shared" si="2"/>
        <v>FUNDED</v>
      </c>
      <c r="H15" s="20">
        <f t="shared" si="3"/>
        <v>1853083</v>
      </c>
      <c r="I15" s="14" t="str">
        <f t="shared" si="1"/>
        <v/>
      </c>
    </row>
    <row r="16">
      <c r="A16" s="18" t="s">
        <v>591</v>
      </c>
      <c r="B16" s="8">
        <v>241.0</v>
      </c>
      <c r="C16" s="9">
        <v>1.03993901E8</v>
      </c>
      <c r="D16" s="9">
        <v>2.8728506E7</v>
      </c>
      <c r="E16" s="10" t="str">
        <f>IF(C16&gt;percent,"YES","NO")</f>
        <v>YES</v>
      </c>
      <c r="F16" s="19">
        <v>100000.0</v>
      </c>
      <c r="G16" s="12" t="str">
        <f t="shared" si="2"/>
        <v>FUNDED</v>
      </c>
      <c r="H16" s="20">
        <f t="shared" si="3"/>
        <v>1753083</v>
      </c>
      <c r="I16" s="14" t="str">
        <f t="shared" si="1"/>
        <v/>
      </c>
    </row>
    <row r="17">
      <c r="A17" s="18" t="s">
        <v>592</v>
      </c>
      <c r="B17" s="8">
        <v>372.0</v>
      </c>
      <c r="C17" s="9">
        <v>1.01666078E8</v>
      </c>
      <c r="D17" s="9">
        <v>8836805.0</v>
      </c>
      <c r="E17" s="10" t="str">
        <f>IF(C17&gt;percent,"YES","NO")</f>
        <v>YES</v>
      </c>
      <c r="F17" s="19">
        <v>100000.0</v>
      </c>
      <c r="G17" s="12" t="str">
        <f t="shared" si="2"/>
        <v>FUNDED</v>
      </c>
      <c r="H17" s="20">
        <f t="shared" si="3"/>
        <v>1653083</v>
      </c>
      <c r="I17" s="14" t="str">
        <f t="shared" si="1"/>
        <v/>
      </c>
    </row>
    <row r="18">
      <c r="A18" s="18" t="s">
        <v>593</v>
      </c>
      <c r="B18" s="8">
        <v>272.0</v>
      </c>
      <c r="C18" s="9">
        <v>1.01540502E8</v>
      </c>
      <c r="D18" s="9">
        <v>5165088.0</v>
      </c>
      <c r="E18" s="10" t="str">
        <f>IF(C18&gt;percent,"YES","NO")</f>
        <v>YES</v>
      </c>
      <c r="F18" s="19">
        <v>85000.0</v>
      </c>
      <c r="G18" s="12" t="str">
        <f t="shared" si="2"/>
        <v>FUNDED</v>
      </c>
      <c r="H18" s="20">
        <f t="shared" si="3"/>
        <v>1568083</v>
      </c>
      <c r="I18" s="14" t="str">
        <f t="shared" si="1"/>
        <v/>
      </c>
    </row>
    <row r="19">
      <c r="A19" s="18" t="s">
        <v>594</v>
      </c>
      <c r="B19" s="8">
        <v>127.0</v>
      </c>
      <c r="C19" s="9">
        <v>1.01313435E8</v>
      </c>
      <c r="D19" s="9">
        <v>8190682.0</v>
      </c>
      <c r="E19" s="10" t="str">
        <f>IF(C19&gt;percent,"YES","NO")</f>
        <v>YES</v>
      </c>
      <c r="F19" s="19">
        <v>60000.0</v>
      </c>
      <c r="G19" s="12" t="str">
        <f t="shared" si="2"/>
        <v>FUNDED</v>
      </c>
      <c r="H19" s="20">
        <f t="shared" si="3"/>
        <v>1508083</v>
      </c>
      <c r="I19" s="14" t="str">
        <f t="shared" si="1"/>
        <v/>
      </c>
    </row>
    <row r="20">
      <c r="A20" s="18" t="s">
        <v>595</v>
      </c>
      <c r="B20" s="8">
        <v>182.0</v>
      </c>
      <c r="C20" s="9">
        <v>1.00265377E8</v>
      </c>
      <c r="D20" s="9">
        <v>5585450.0</v>
      </c>
      <c r="E20" s="10" t="str">
        <f>IF(C20&gt;percent,"YES","NO")</f>
        <v>YES</v>
      </c>
      <c r="F20" s="19">
        <v>80000.0</v>
      </c>
      <c r="G20" s="12" t="str">
        <f t="shared" si="2"/>
        <v>FUNDED</v>
      </c>
      <c r="H20" s="20">
        <f t="shared" si="3"/>
        <v>1428083</v>
      </c>
      <c r="I20" s="14" t="str">
        <f t="shared" si="1"/>
        <v/>
      </c>
    </row>
    <row r="21">
      <c r="A21" s="18" t="s">
        <v>596</v>
      </c>
      <c r="B21" s="8">
        <v>146.0</v>
      </c>
      <c r="C21" s="9">
        <v>9.8211492E7</v>
      </c>
      <c r="D21" s="9">
        <v>9186686.0</v>
      </c>
      <c r="E21" s="10" t="str">
        <f>IF(C21&gt;percent,"YES","NO")</f>
        <v>YES</v>
      </c>
      <c r="F21" s="19">
        <v>75000.0</v>
      </c>
      <c r="G21" s="12" t="str">
        <f t="shared" si="2"/>
        <v>FUNDED</v>
      </c>
      <c r="H21" s="20">
        <f t="shared" si="3"/>
        <v>1353083</v>
      </c>
      <c r="I21" s="14" t="str">
        <f t="shared" si="1"/>
        <v/>
      </c>
    </row>
    <row r="22">
      <c r="A22" s="18" t="s">
        <v>597</v>
      </c>
      <c r="B22" s="8">
        <v>235.0</v>
      </c>
      <c r="C22" s="9">
        <v>9.5867654E7</v>
      </c>
      <c r="D22" s="9">
        <v>4535756.0</v>
      </c>
      <c r="E22" s="10" t="str">
        <f>IF(C22&gt;percent,"YES","NO")</f>
        <v>YES</v>
      </c>
      <c r="F22" s="19">
        <v>64000.0</v>
      </c>
      <c r="G22" s="12" t="str">
        <f t="shared" si="2"/>
        <v>FUNDED</v>
      </c>
      <c r="H22" s="20">
        <f t="shared" si="3"/>
        <v>1289083</v>
      </c>
      <c r="I22" s="14" t="str">
        <f t="shared" si="1"/>
        <v/>
      </c>
    </row>
    <row r="23">
      <c r="A23" s="18" t="s">
        <v>598</v>
      </c>
      <c r="B23" s="8">
        <v>257.0</v>
      </c>
      <c r="C23" s="9">
        <v>9.5392614E7</v>
      </c>
      <c r="D23" s="9">
        <v>6853222.0</v>
      </c>
      <c r="E23" s="10" t="str">
        <f>IF(C23&gt;percent,"YES","NO")</f>
        <v>YES</v>
      </c>
      <c r="F23" s="19">
        <v>95000.0</v>
      </c>
      <c r="G23" s="12" t="str">
        <f t="shared" si="2"/>
        <v>FUNDED</v>
      </c>
      <c r="H23" s="20">
        <f t="shared" si="3"/>
        <v>1194083</v>
      </c>
      <c r="I23" s="14" t="str">
        <f t="shared" si="1"/>
        <v/>
      </c>
    </row>
    <row r="24">
      <c r="A24" s="18" t="s">
        <v>599</v>
      </c>
      <c r="B24" s="8">
        <v>229.0</v>
      </c>
      <c r="C24" s="9">
        <v>9.3596813E7</v>
      </c>
      <c r="D24" s="9">
        <v>2.3550161E7</v>
      </c>
      <c r="E24" s="10" t="str">
        <f>IF(C24&gt;percent,"YES","NO")</f>
        <v>YES</v>
      </c>
      <c r="F24" s="19">
        <v>100000.0</v>
      </c>
      <c r="G24" s="12" t="str">
        <f t="shared" si="2"/>
        <v>FUNDED</v>
      </c>
      <c r="H24" s="20">
        <f t="shared" si="3"/>
        <v>1094083</v>
      </c>
      <c r="I24" s="14" t="str">
        <f t="shared" si="1"/>
        <v/>
      </c>
    </row>
    <row r="25">
      <c r="A25" s="18" t="s">
        <v>600</v>
      </c>
      <c r="B25" s="8">
        <v>221.0</v>
      </c>
      <c r="C25" s="9">
        <v>9.2753367E7</v>
      </c>
      <c r="D25" s="9">
        <v>1.0809293E7</v>
      </c>
      <c r="E25" s="10" t="str">
        <f>IF(C25&gt;percent,"YES","NO")</f>
        <v>YES</v>
      </c>
      <c r="F25" s="19">
        <v>100000.0</v>
      </c>
      <c r="G25" s="12" t="str">
        <f t="shared" si="2"/>
        <v>FUNDED</v>
      </c>
      <c r="H25" s="20">
        <f t="shared" si="3"/>
        <v>994083</v>
      </c>
      <c r="I25" s="14" t="str">
        <f t="shared" si="1"/>
        <v/>
      </c>
    </row>
    <row r="26">
      <c r="A26" s="21" t="s">
        <v>601</v>
      </c>
      <c r="B26" s="8">
        <v>172.0</v>
      </c>
      <c r="C26" s="9">
        <v>9.2692738E7</v>
      </c>
      <c r="D26" s="9">
        <v>6650576.0</v>
      </c>
      <c r="E26" s="10" t="str">
        <f>IF(C26&gt;percent,"YES","NO")</f>
        <v>YES</v>
      </c>
      <c r="F26" s="19">
        <v>85000.0</v>
      </c>
      <c r="G26" s="12" t="str">
        <f t="shared" si="2"/>
        <v>FUNDED</v>
      </c>
      <c r="H26" s="20">
        <f t="shared" si="3"/>
        <v>909083</v>
      </c>
      <c r="I26" s="14" t="str">
        <f t="shared" si="1"/>
        <v/>
      </c>
    </row>
    <row r="27">
      <c r="A27" s="18" t="s">
        <v>602</v>
      </c>
      <c r="B27" s="8">
        <v>192.0</v>
      </c>
      <c r="C27" s="9">
        <v>9.173913E7</v>
      </c>
      <c r="D27" s="9">
        <v>1.3524161E7</v>
      </c>
      <c r="E27" s="10" t="str">
        <f>IF(C27&gt;percent,"YES","NO")</f>
        <v>YES</v>
      </c>
      <c r="F27" s="19">
        <v>80000.0</v>
      </c>
      <c r="G27" s="12" t="str">
        <f t="shared" si="2"/>
        <v>FUNDED</v>
      </c>
      <c r="H27" s="20">
        <f t="shared" si="3"/>
        <v>829083</v>
      </c>
      <c r="I27" s="14" t="str">
        <f t="shared" si="1"/>
        <v/>
      </c>
    </row>
    <row r="28">
      <c r="A28" s="18" t="s">
        <v>603</v>
      </c>
      <c r="B28" s="8">
        <v>245.0</v>
      </c>
      <c r="C28" s="9">
        <v>9.0865187E7</v>
      </c>
      <c r="D28" s="9">
        <v>2.3047547E7</v>
      </c>
      <c r="E28" s="10" t="str">
        <f>IF(C28&gt;percent,"YES","NO")</f>
        <v>YES</v>
      </c>
      <c r="F28" s="19">
        <v>96000.0</v>
      </c>
      <c r="G28" s="12" t="str">
        <f t="shared" si="2"/>
        <v>FUNDED</v>
      </c>
      <c r="H28" s="20">
        <f t="shared" si="3"/>
        <v>733083</v>
      </c>
      <c r="I28" s="14" t="str">
        <f t="shared" si="1"/>
        <v/>
      </c>
    </row>
    <row r="29">
      <c r="A29" s="18" t="s">
        <v>604</v>
      </c>
      <c r="B29" s="8">
        <v>200.0</v>
      </c>
      <c r="C29" s="9">
        <v>9.0373195E7</v>
      </c>
      <c r="D29" s="9">
        <v>1.0185167E7</v>
      </c>
      <c r="E29" s="10" t="str">
        <f>IF(C29&gt;percent,"YES","NO")</f>
        <v>YES</v>
      </c>
      <c r="F29" s="19">
        <v>95000.0</v>
      </c>
      <c r="G29" s="12" t="str">
        <f t="shared" si="2"/>
        <v>FUNDED</v>
      </c>
      <c r="H29" s="20">
        <f t="shared" si="3"/>
        <v>638083</v>
      </c>
      <c r="I29" s="14" t="str">
        <f t="shared" si="1"/>
        <v/>
      </c>
    </row>
    <row r="30">
      <c r="A30" s="18" t="s">
        <v>605</v>
      </c>
      <c r="B30" s="8">
        <v>293.0</v>
      </c>
      <c r="C30" s="9">
        <v>8.8931969E7</v>
      </c>
      <c r="D30" s="9">
        <v>8184773.0</v>
      </c>
      <c r="E30" s="10" t="str">
        <f>IF(C30&gt;percent,"YES","NO")</f>
        <v>YES</v>
      </c>
      <c r="F30" s="19">
        <v>97083.0</v>
      </c>
      <c r="G30" s="12" t="str">
        <f t="shared" si="2"/>
        <v>FUNDED</v>
      </c>
      <c r="H30" s="20">
        <f t="shared" si="3"/>
        <v>541000</v>
      </c>
      <c r="I30" s="14" t="str">
        <f t="shared" si="1"/>
        <v/>
      </c>
    </row>
    <row r="31">
      <c r="A31" s="18" t="s">
        <v>606</v>
      </c>
      <c r="B31" s="8">
        <v>251.0</v>
      </c>
      <c r="C31" s="9">
        <v>8.8083207E7</v>
      </c>
      <c r="D31" s="9">
        <v>5932339.0</v>
      </c>
      <c r="E31" s="10" t="str">
        <f>IF(C31&gt;percent,"YES","NO")</f>
        <v>YES</v>
      </c>
      <c r="F31" s="19">
        <v>99917.0</v>
      </c>
      <c r="G31" s="12" t="str">
        <f t="shared" si="2"/>
        <v>FUNDED</v>
      </c>
      <c r="H31" s="20">
        <f t="shared" si="3"/>
        <v>441083</v>
      </c>
      <c r="I31" s="14" t="str">
        <f t="shared" si="1"/>
        <v/>
      </c>
    </row>
    <row r="32">
      <c r="A32" s="18" t="s">
        <v>607</v>
      </c>
      <c r="B32" s="8">
        <v>193.0</v>
      </c>
      <c r="C32" s="9">
        <v>8.6018216E7</v>
      </c>
      <c r="D32" s="9">
        <v>1.0389473E7</v>
      </c>
      <c r="E32" s="10" t="str">
        <f>IF(C32&gt;percent,"YES","NO")</f>
        <v>YES</v>
      </c>
      <c r="F32" s="19">
        <v>100000.0</v>
      </c>
      <c r="G32" s="12" t="str">
        <f t="shared" si="2"/>
        <v>FUNDED</v>
      </c>
      <c r="H32" s="20">
        <f t="shared" si="3"/>
        <v>341083</v>
      </c>
      <c r="I32" s="14" t="str">
        <f t="shared" si="1"/>
        <v/>
      </c>
    </row>
    <row r="33">
      <c r="A33" s="18" t="s">
        <v>608</v>
      </c>
      <c r="B33" s="8">
        <v>276.0</v>
      </c>
      <c r="C33" s="9">
        <v>8.5788303E7</v>
      </c>
      <c r="D33" s="9">
        <v>9491686.0</v>
      </c>
      <c r="E33" s="10" t="str">
        <f>IF(C33&gt;percent,"YES","NO")</f>
        <v>YES</v>
      </c>
      <c r="F33" s="19">
        <v>99917.0</v>
      </c>
      <c r="G33" s="12" t="str">
        <f t="shared" si="2"/>
        <v>FUNDED</v>
      </c>
      <c r="H33" s="20">
        <f t="shared" si="3"/>
        <v>241166</v>
      </c>
      <c r="I33" s="14" t="str">
        <f t="shared" si="1"/>
        <v/>
      </c>
    </row>
    <row r="34">
      <c r="A34" s="18" t="s">
        <v>609</v>
      </c>
      <c r="B34" s="8">
        <v>227.0</v>
      </c>
      <c r="C34" s="9">
        <v>8.5729744E7</v>
      </c>
      <c r="D34" s="9">
        <v>8986427.0</v>
      </c>
      <c r="E34" s="10" t="str">
        <f>IF(C34&gt;percent,"YES","NO")</f>
        <v>YES</v>
      </c>
      <c r="F34" s="19">
        <v>100000.0</v>
      </c>
      <c r="G34" s="12" t="str">
        <f t="shared" si="2"/>
        <v>FUNDED</v>
      </c>
      <c r="H34" s="20">
        <f t="shared" si="3"/>
        <v>141166</v>
      </c>
      <c r="I34" s="14" t="str">
        <f t="shared" si="1"/>
        <v/>
      </c>
    </row>
    <row r="35">
      <c r="A35" s="18" t="s">
        <v>610</v>
      </c>
      <c r="B35" s="8">
        <v>196.0</v>
      </c>
      <c r="C35" s="9">
        <v>8.5204684E7</v>
      </c>
      <c r="D35" s="9">
        <v>9627911.0</v>
      </c>
      <c r="E35" s="10" t="str">
        <f>IF(C35&gt;percent,"YES","NO")</f>
        <v>YES</v>
      </c>
      <c r="F35" s="19">
        <v>100000.0</v>
      </c>
      <c r="G35" s="12" t="str">
        <f t="shared" si="2"/>
        <v>FUNDED</v>
      </c>
      <c r="H35" s="20">
        <f t="shared" si="3"/>
        <v>41166</v>
      </c>
      <c r="I35" s="14" t="str">
        <f t="shared" si="1"/>
        <v/>
      </c>
    </row>
    <row r="36">
      <c r="A36" s="18" t="s">
        <v>611</v>
      </c>
      <c r="B36" s="8">
        <v>193.0</v>
      </c>
      <c r="C36" s="9">
        <v>8.3408493E7</v>
      </c>
      <c r="D36" s="9">
        <v>8886713.0</v>
      </c>
      <c r="E36" s="10" t="str">
        <f>IF(C36&gt;percent,"YES","NO")</f>
        <v>YES</v>
      </c>
      <c r="F36" s="19">
        <v>100000.0</v>
      </c>
      <c r="G36" s="12" t="str">
        <f t="shared" si="2"/>
        <v>NOT FUNDED</v>
      </c>
      <c r="H36" s="20">
        <f t="shared" si="3"/>
        <v>41166</v>
      </c>
      <c r="I36" s="14" t="str">
        <f t="shared" si="1"/>
        <v>Over Budget</v>
      </c>
    </row>
    <row r="37">
      <c r="A37" s="18" t="s">
        <v>612</v>
      </c>
      <c r="B37" s="8">
        <v>185.0</v>
      </c>
      <c r="C37" s="9">
        <v>8.1372056E7</v>
      </c>
      <c r="D37" s="9">
        <v>8945995.0</v>
      </c>
      <c r="E37" s="10" t="str">
        <f>IF(C37&gt;percent,"YES","NO")</f>
        <v>YES</v>
      </c>
      <c r="F37" s="19">
        <v>98000.0</v>
      </c>
      <c r="G37" s="12" t="str">
        <f t="shared" si="2"/>
        <v>NOT FUNDED</v>
      </c>
      <c r="H37" s="20">
        <f t="shared" si="3"/>
        <v>41166</v>
      </c>
      <c r="I37" s="14" t="str">
        <f t="shared" si="1"/>
        <v>Over Budget</v>
      </c>
    </row>
    <row r="38">
      <c r="A38" s="18" t="s">
        <v>613</v>
      </c>
      <c r="B38" s="8">
        <v>207.0</v>
      </c>
      <c r="C38" s="9">
        <v>8.1080808E7</v>
      </c>
      <c r="D38" s="9">
        <v>1.218235E7</v>
      </c>
      <c r="E38" s="10" t="str">
        <f>IF(C38&gt;percent,"YES","NO")</f>
        <v>YES</v>
      </c>
      <c r="F38" s="19">
        <v>100000.0</v>
      </c>
      <c r="G38" s="12" t="str">
        <f t="shared" si="2"/>
        <v>NOT FUNDED</v>
      </c>
      <c r="H38" s="20">
        <f t="shared" si="3"/>
        <v>41166</v>
      </c>
      <c r="I38" s="14" t="str">
        <f t="shared" si="1"/>
        <v>Over Budget</v>
      </c>
    </row>
    <row r="39">
      <c r="A39" s="18" t="s">
        <v>614</v>
      </c>
      <c r="B39" s="8">
        <v>200.0</v>
      </c>
      <c r="C39" s="9">
        <v>8.0780244E7</v>
      </c>
      <c r="D39" s="9">
        <v>9585081.0</v>
      </c>
      <c r="E39" s="10" t="str">
        <f>IF(C39&gt;percent,"YES","NO")</f>
        <v>YES</v>
      </c>
      <c r="F39" s="19">
        <v>100000.0</v>
      </c>
      <c r="G39" s="12" t="str">
        <f t="shared" si="2"/>
        <v>NOT FUNDED</v>
      </c>
      <c r="H39" s="20">
        <f t="shared" si="3"/>
        <v>41166</v>
      </c>
      <c r="I39" s="14" t="str">
        <f t="shared" si="1"/>
        <v>Over Budget</v>
      </c>
    </row>
    <row r="40">
      <c r="A40" s="18" t="s">
        <v>615</v>
      </c>
      <c r="B40" s="8">
        <v>269.0</v>
      </c>
      <c r="C40" s="9">
        <v>7.9670134E7</v>
      </c>
      <c r="D40" s="9">
        <v>7102105.0</v>
      </c>
      <c r="E40" s="10" t="str">
        <f>IF(C40&gt;percent,"YES","NO")</f>
        <v>YES</v>
      </c>
      <c r="F40" s="19">
        <v>81000.0</v>
      </c>
      <c r="G40" s="12" t="str">
        <f t="shared" si="2"/>
        <v>NOT FUNDED</v>
      </c>
      <c r="H40" s="20">
        <f t="shared" si="3"/>
        <v>41166</v>
      </c>
      <c r="I40" s="14" t="str">
        <f t="shared" si="1"/>
        <v>Over Budget</v>
      </c>
    </row>
    <row r="41">
      <c r="A41" s="18" t="s">
        <v>616</v>
      </c>
      <c r="B41" s="8">
        <v>191.0</v>
      </c>
      <c r="C41" s="9">
        <v>7.7872186E7</v>
      </c>
      <c r="D41" s="9">
        <v>9393323.0</v>
      </c>
      <c r="E41" s="10" t="str">
        <f>IF(C41&gt;percent,"YES","NO")</f>
        <v>YES</v>
      </c>
      <c r="F41" s="19">
        <v>85000.0</v>
      </c>
      <c r="G41" s="12" t="str">
        <f t="shared" si="2"/>
        <v>NOT FUNDED</v>
      </c>
      <c r="H41" s="20">
        <f t="shared" si="3"/>
        <v>41166</v>
      </c>
      <c r="I41" s="14" t="str">
        <f t="shared" si="1"/>
        <v>Over Budget</v>
      </c>
    </row>
    <row r="42">
      <c r="A42" s="18" t="s">
        <v>617</v>
      </c>
      <c r="B42" s="8">
        <v>344.0</v>
      </c>
      <c r="C42" s="9">
        <v>7.6560554E7</v>
      </c>
      <c r="D42" s="9">
        <v>4942784.0</v>
      </c>
      <c r="E42" s="10" t="str">
        <f>IF(C42&gt;percent,"YES","NO")</f>
        <v>YES</v>
      </c>
      <c r="F42" s="19">
        <v>60000.0</v>
      </c>
      <c r="G42" s="12" t="str">
        <f t="shared" si="2"/>
        <v>NOT FUNDED</v>
      </c>
      <c r="H42" s="20">
        <f t="shared" si="3"/>
        <v>41166</v>
      </c>
      <c r="I42" s="14" t="str">
        <f t="shared" si="1"/>
        <v>Over Budget</v>
      </c>
    </row>
    <row r="43">
      <c r="A43" s="18" t="s">
        <v>618</v>
      </c>
      <c r="B43" s="8">
        <v>200.0</v>
      </c>
      <c r="C43" s="9">
        <v>7.5937849E7</v>
      </c>
      <c r="D43" s="9">
        <v>1.0881675E7</v>
      </c>
      <c r="E43" s="10" t="str">
        <f>IF(C43&gt;percent,"YES","NO")</f>
        <v>YES</v>
      </c>
      <c r="F43" s="19">
        <v>100000.0</v>
      </c>
      <c r="G43" s="12" t="str">
        <f t="shared" si="2"/>
        <v>NOT FUNDED</v>
      </c>
      <c r="H43" s="20">
        <f t="shared" si="3"/>
        <v>41166</v>
      </c>
      <c r="I43" s="14" t="str">
        <f t="shared" si="1"/>
        <v>Over Budget</v>
      </c>
    </row>
    <row r="44">
      <c r="A44" s="18" t="s">
        <v>619</v>
      </c>
      <c r="B44" s="8">
        <v>197.0</v>
      </c>
      <c r="C44" s="9">
        <v>7.5704293E7</v>
      </c>
      <c r="D44" s="9">
        <v>9949938.0</v>
      </c>
      <c r="E44" s="10" t="str">
        <f>IF(C44&gt;percent,"YES","NO")</f>
        <v>YES</v>
      </c>
      <c r="F44" s="19">
        <v>100000.0</v>
      </c>
      <c r="G44" s="12" t="str">
        <f t="shared" si="2"/>
        <v>NOT FUNDED</v>
      </c>
      <c r="H44" s="20">
        <f t="shared" si="3"/>
        <v>41166</v>
      </c>
      <c r="I44" s="14" t="str">
        <f t="shared" si="1"/>
        <v>Over Budget</v>
      </c>
    </row>
    <row r="45">
      <c r="A45" s="18" t="s">
        <v>620</v>
      </c>
      <c r="B45" s="22">
        <v>219.0</v>
      </c>
      <c r="C45" s="9">
        <v>7.525757E7</v>
      </c>
      <c r="D45" s="9">
        <v>1.0843664E7</v>
      </c>
      <c r="E45" s="10" t="str">
        <f>IF(C45&gt;percent,"YES","NO")</f>
        <v>YES</v>
      </c>
      <c r="F45" s="19">
        <v>100000.0</v>
      </c>
      <c r="G45" s="12" t="str">
        <f t="shared" si="2"/>
        <v>NOT FUNDED</v>
      </c>
      <c r="H45" s="20">
        <f t="shared" si="3"/>
        <v>41166</v>
      </c>
      <c r="I45" s="14" t="str">
        <f t="shared" si="1"/>
        <v>Over Budget</v>
      </c>
    </row>
    <row r="46">
      <c r="A46" s="18" t="s">
        <v>621</v>
      </c>
      <c r="B46" s="22">
        <v>184.0</v>
      </c>
      <c r="C46" s="9">
        <v>7.4469694E7</v>
      </c>
      <c r="D46" s="9">
        <v>8467457.0</v>
      </c>
      <c r="E46" s="10" t="str">
        <f>IF(C46&gt;percent,"YES","NO")</f>
        <v>YES</v>
      </c>
      <c r="F46" s="19">
        <v>100000.0</v>
      </c>
      <c r="G46" s="12" t="str">
        <f t="shared" si="2"/>
        <v>NOT FUNDED</v>
      </c>
      <c r="H46" s="20">
        <f t="shared" si="3"/>
        <v>41166</v>
      </c>
      <c r="I46" s="14" t="str">
        <f t="shared" si="1"/>
        <v>Over Budget</v>
      </c>
    </row>
    <row r="47">
      <c r="A47" s="18" t="s">
        <v>622</v>
      </c>
      <c r="B47" s="22">
        <v>146.0</v>
      </c>
      <c r="C47" s="9">
        <v>7.3409823E7</v>
      </c>
      <c r="D47" s="9">
        <v>1.3435373E7</v>
      </c>
      <c r="E47" s="10" t="str">
        <f>IF(C47&gt;percent,"YES","NO")</f>
        <v>YES</v>
      </c>
      <c r="F47" s="19">
        <v>100000.0</v>
      </c>
      <c r="G47" s="12" t="str">
        <f t="shared" si="2"/>
        <v>NOT FUNDED</v>
      </c>
      <c r="H47" s="20">
        <f t="shared" si="3"/>
        <v>41166</v>
      </c>
      <c r="I47" s="14" t="str">
        <f t="shared" si="1"/>
        <v>Over Budget</v>
      </c>
    </row>
    <row r="48">
      <c r="A48" s="18" t="s">
        <v>623</v>
      </c>
      <c r="B48" s="22">
        <v>193.0</v>
      </c>
      <c r="C48" s="9">
        <v>7.3081428E7</v>
      </c>
      <c r="D48" s="9">
        <v>1.5501962E7</v>
      </c>
      <c r="E48" s="10" t="str">
        <f>IF(C48&gt;percent,"YES","NO")</f>
        <v>YES</v>
      </c>
      <c r="F48" s="19">
        <v>100000.0</v>
      </c>
      <c r="G48" s="12" t="str">
        <f t="shared" si="2"/>
        <v>NOT FUNDED</v>
      </c>
      <c r="H48" s="20">
        <f t="shared" si="3"/>
        <v>41166</v>
      </c>
      <c r="I48" s="14" t="str">
        <f t="shared" si="1"/>
        <v>Over Budget</v>
      </c>
    </row>
    <row r="49">
      <c r="A49" s="18" t="s">
        <v>624</v>
      </c>
      <c r="B49" s="22">
        <v>159.0</v>
      </c>
      <c r="C49" s="9">
        <v>7.0050567E7</v>
      </c>
      <c r="D49" s="9">
        <v>8643994.0</v>
      </c>
      <c r="E49" s="10" t="str">
        <f>IF(C49&gt;percent,"YES","NO")</f>
        <v>YES</v>
      </c>
      <c r="F49" s="19">
        <v>79000.0</v>
      </c>
      <c r="G49" s="12" t="str">
        <f t="shared" si="2"/>
        <v>NOT FUNDED</v>
      </c>
      <c r="H49" s="20">
        <f t="shared" si="3"/>
        <v>41166</v>
      </c>
      <c r="I49" s="14" t="str">
        <f t="shared" si="1"/>
        <v>Over Budget</v>
      </c>
    </row>
    <row r="50">
      <c r="A50" s="18" t="s">
        <v>625</v>
      </c>
      <c r="B50" s="22">
        <v>147.0</v>
      </c>
      <c r="C50" s="9">
        <v>6.9528599E7</v>
      </c>
      <c r="D50" s="9">
        <v>4934254.0</v>
      </c>
      <c r="E50" s="10" t="str">
        <f>IF(C50&gt;percent,"YES","NO")</f>
        <v>YES</v>
      </c>
      <c r="F50" s="19">
        <v>60000.0</v>
      </c>
      <c r="G50" s="12" t="str">
        <f t="shared" si="2"/>
        <v>NOT FUNDED</v>
      </c>
      <c r="H50" s="20">
        <f t="shared" si="3"/>
        <v>41166</v>
      </c>
      <c r="I50" s="14" t="str">
        <f t="shared" si="1"/>
        <v>Over Budget</v>
      </c>
    </row>
    <row r="51">
      <c r="A51" s="18" t="s">
        <v>626</v>
      </c>
      <c r="B51" s="22">
        <v>155.0</v>
      </c>
      <c r="C51" s="9">
        <v>6.8843538E7</v>
      </c>
      <c r="D51" s="9">
        <v>9237507.0</v>
      </c>
      <c r="E51" s="10" t="str">
        <f>IF(C51&gt;percent,"YES","NO")</f>
        <v>YES</v>
      </c>
      <c r="F51" s="19">
        <v>68000.0</v>
      </c>
      <c r="G51" s="12" t="str">
        <f t="shared" si="2"/>
        <v>NOT FUNDED</v>
      </c>
      <c r="H51" s="20">
        <f t="shared" si="3"/>
        <v>41166</v>
      </c>
      <c r="I51" s="14" t="str">
        <f t="shared" si="1"/>
        <v>Over Budget</v>
      </c>
    </row>
    <row r="52">
      <c r="A52" s="18" t="s">
        <v>627</v>
      </c>
      <c r="B52" s="22">
        <v>195.0</v>
      </c>
      <c r="C52" s="9">
        <v>6.8670791E7</v>
      </c>
      <c r="D52" s="9">
        <v>1.0080028E7</v>
      </c>
      <c r="E52" s="10" t="str">
        <f>IF(C52&gt;percent,"YES","NO")</f>
        <v>YES</v>
      </c>
      <c r="F52" s="19">
        <v>100000.0</v>
      </c>
      <c r="G52" s="12" t="str">
        <f t="shared" si="2"/>
        <v>NOT FUNDED</v>
      </c>
      <c r="H52" s="20">
        <f t="shared" si="3"/>
        <v>41166</v>
      </c>
      <c r="I52" s="14" t="str">
        <f t="shared" si="1"/>
        <v>Over Budget</v>
      </c>
    </row>
    <row r="53">
      <c r="A53" s="18" t="s">
        <v>628</v>
      </c>
      <c r="B53" s="22">
        <v>171.0</v>
      </c>
      <c r="C53" s="9">
        <v>6.8582358E7</v>
      </c>
      <c r="D53" s="9">
        <v>9035170.0</v>
      </c>
      <c r="E53" s="10" t="str">
        <f>IF(C53&gt;percent,"YES","NO")</f>
        <v>YES</v>
      </c>
      <c r="F53" s="19">
        <v>85000.0</v>
      </c>
      <c r="G53" s="12" t="str">
        <f t="shared" si="2"/>
        <v>NOT FUNDED</v>
      </c>
      <c r="H53" s="20">
        <f t="shared" si="3"/>
        <v>41166</v>
      </c>
      <c r="I53" s="14" t="str">
        <f t="shared" si="1"/>
        <v>Over Budget</v>
      </c>
    </row>
    <row r="54">
      <c r="A54" s="18" t="s">
        <v>629</v>
      </c>
      <c r="B54" s="22">
        <v>200.0</v>
      </c>
      <c r="C54" s="9">
        <v>6.7322474E7</v>
      </c>
      <c r="D54" s="9">
        <v>2.6974107E7</v>
      </c>
      <c r="E54" s="10" t="str">
        <f>IF(C54&gt;percent,"YES","NO")</f>
        <v>YES</v>
      </c>
      <c r="F54" s="19">
        <v>100000.0</v>
      </c>
      <c r="G54" s="12" t="str">
        <f t="shared" si="2"/>
        <v>NOT FUNDED</v>
      </c>
      <c r="H54" s="20">
        <f t="shared" si="3"/>
        <v>41166</v>
      </c>
      <c r="I54" s="14" t="str">
        <f t="shared" si="1"/>
        <v>Over Budget</v>
      </c>
    </row>
    <row r="55">
      <c r="A55" s="18" t="s">
        <v>630</v>
      </c>
      <c r="B55" s="22">
        <v>244.0</v>
      </c>
      <c r="C55" s="9">
        <v>6.7084199E7</v>
      </c>
      <c r="D55" s="9">
        <v>2672898.0</v>
      </c>
      <c r="E55" s="10" t="str">
        <f>IF(C55&gt;percent,"YES","NO")</f>
        <v>YES</v>
      </c>
      <c r="F55" s="19">
        <v>98742.0</v>
      </c>
      <c r="G55" s="12" t="str">
        <f t="shared" si="2"/>
        <v>NOT FUNDED</v>
      </c>
      <c r="H55" s="20">
        <f t="shared" si="3"/>
        <v>41166</v>
      </c>
      <c r="I55" s="14" t="str">
        <f t="shared" si="1"/>
        <v>Over Budget</v>
      </c>
    </row>
    <row r="56">
      <c r="A56" s="18" t="s">
        <v>631</v>
      </c>
      <c r="B56" s="22">
        <v>172.0</v>
      </c>
      <c r="C56" s="9">
        <v>6.704629E7</v>
      </c>
      <c r="D56" s="9">
        <v>1.3043868E7</v>
      </c>
      <c r="E56" s="10" t="str">
        <f>IF(C56&gt;percent,"YES","NO")</f>
        <v>YES</v>
      </c>
      <c r="F56" s="19">
        <v>100000.0</v>
      </c>
      <c r="G56" s="12" t="str">
        <f t="shared" si="2"/>
        <v>NOT FUNDED</v>
      </c>
      <c r="H56" s="20">
        <f t="shared" si="3"/>
        <v>41166</v>
      </c>
      <c r="I56" s="14" t="str">
        <f t="shared" si="1"/>
        <v>Over Budget</v>
      </c>
    </row>
    <row r="57">
      <c r="A57" s="18" t="s">
        <v>632</v>
      </c>
      <c r="B57" s="22">
        <v>168.0</v>
      </c>
      <c r="C57" s="9">
        <v>6.6373019E7</v>
      </c>
      <c r="D57" s="9">
        <v>1.1587902E7</v>
      </c>
      <c r="E57" s="10" t="str">
        <f>IF(C57&gt;percent,"YES","NO")</f>
        <v>YES</v>
      </c>
      <c r="F57" s="19">
        <v>100000.0</v>
      </c>
      <c r="G57" s="12" t="str">
        <f t="shared" si="2"/>
        <v>NOT FUNDED</v>
      </c>
      <c r="H57" s="20">
        <f t="shared" si="3"/>
        <v>41166</v>
      </c>
      <c r="I57" s="14" t="str">
        <f t="shared" si="1"/>
        <v>Over Budget</v>
      </c>
    </row>
    <row r="58">
      <c r="A58" s="18" t="s">
        <v>633</v>
      </c>
      <c r="B58" s="22">
        <v>187.0</v>
      </c>
      <c r="C58" s="9">
        <v>6.5754547E7</v>
      </c>
      <c r="D58" s="9">
        <v>6396819.0</v>
      </c>
      <c r="E58" s="10" t="str">
        <f>IF(C58&gt;percent,"YES","NO")</f>
        <v>YES</v>
      </c>
      <c r="F58" s="19">
        <v>99500.0</v>
      </c>
      <c r="G58" s="12" t="str">
        <f t="shared" si="2"/>
        <v>NOT FUNDED</v>
      </c>
      <c r="H58" s="20">
        <f t="shared" si="3"/>
        <v>41166</v>
      </c>
      <c r="I58" s="14" t="str">
        <f t="shared" si="1"/>
        <v>Over Budget</v>
      </c>
    </row>
    <row r="59">
      <c r="A59" s="18" t="s">
        <v>634</v>
      </c>
      <c r="B59" s="22">
        <v>215.0</v>
      </c>
      <c r="C59" s="9">
        <v>6.4089089E7</v>
      </c>
      <c r="D59" s="9">
        <v>9290034.0</v>
      </c>
      <c r="E59" s="10" t="str">
        <f>IF(C59&gt;percent,"YES","NO")</f>
        <v>YES</v>
      </c>
      <c r="F59" s="19">
        <v>81000.0</v>
      </c>
      <c r="G59" s="12" t="str">
        <f t="shared" si="2"/>
        <v>NOT FUNDED</v>
      </c>
      <c r="H59" s="20">
        <f t="shared" si="3"/>
        <v>41166</v>
      </c>
      <c r="I59" s="14" t="str">
        <f t="shared" si="1"/>
        <v>Over Budget</v>
      </c>
    </row>
    <row r="60">
      <c r="A60" s="18" t="s">
        <v>635</v>
      </c>
      <c r="B60" s="22">
        <v>124.0</v>
      </c>
      <c r="C60" s="9">
        <v>6.4034342E7</v>
      </c>
      <c r="D60" s="9">
        <v>1.0230882E7</v>
      </c>
      <c r="E60" s="10" t="str">
        <f>IF(C60&gt;percent,"YES","NO")</f>
        <v>YES</v>
      </c>
      <c r="F60" s="19">
        <v>81000.0</v>
      </c>
      <c r="G60" s="12" t="str">
        <f t="shared" si="2"/>
        <v>NOT FUNDED</v>
      </c>
      <c r="H60" s="20">
        <f t="shared" si="3"/>
        <v>41166</v>
      </c>
      <c r="I60" s="14" t="str">
        <f t="shared" si="1"/>
        <v>Over Budget</v>
      </c>
    </row>
    <row r="61">
      <c r="A61" s="18" t="s">
        <v>636</v>
      </c>
      <c r="B61" s="22">
        <v>182.0</v>
      </c>
      <c r="C61" s="9">
        <v>6.3682125E7</v>
      </c>
      <c r="D61" s="9">
        <v>4512215.0</v>
      </c>
      <c r="E61" s="10" t="str">
        <f>IF(C61&gt;percent,"YES","NO")</f>
        <v>YES</v>
      </c>
      <c r="F61" s="19">
        <v>15000.0</v>
      </c>
      <c r="G61" s="12" t="str">
        <f t="shared" si="2"/>
        <v>FUNDED</v>
      </c>
      <c r="H61" s="20">
        <f t="shared" si="3"/>
        <v>26166</v>
      </c>
      <c r="I61" s="14" t="str">
        <f t="shared" si="1"/>
        <v/>
      </c>
    </row>
    <row r="62">
      <c r="A62" s="18" t="s">
        <v>637</v>
      </c>
      <c r="B62" s="22">
        <v>155.0</v>
      </c>
      <c r="C62" s="9">
        <v>6.3220281E7</v>
      </c>
      <c r="D62" s="9">
        <v>1.0221656E7</v>
      </c>
      <c r="E62" s="10" t="str">
        <f>IF(C62&gt;percent,"YES","NO")</f>
        <v>YES</v>
      </c>
      <c r="F62" s="19">
        <v>100000.0</v>
      </c>
      <c r="G62" s="12" t="str">
        <f t="shared" si="2"/>
        <v>NOT FUNDED</v>
      </c>
      <c r="H62" s="20">
        <f t="shared" si="3"/>
        <v>26166</v>
      </c>
      <c r="I62" s="14" t="str">
        <f t="shared" si="1"/>
        <v>Over Budget</v>
      </c>
    </row>
    <row r="63">
      <c r="A63" s="18" t="s">
        <v>638</v>
      </c>
      <c r="B63" s="22">
        <v>177.0</v>
      </c>
      <c r="C63" s="9">
        <v>6.3094801E7</v>
      </c>
      <c r="D63" s="9">
        <v>1.4278828E7</v>
      </c>
      <c r="E63" s="10" t="str">
        <f>IF(C63&gt;percent,"YES","NO")</f>
        <v>YES</v>
      </c>
      <c r="F63" s="19">
        <v>100000.0</v>
      </c>
      <c r="G63" s="12" t="str">
        <f t="shared" si="2"/>
        <v>NOT FUNDED</v>
      </c>
      <c r="H63" s="20">
        <f t="shared" si="3"/>
        <v>26166</v>
      </c>
      <c r="I63" s="14" t="str">
        <f t="shared" si="1"/>
        <v>Over Budget</v>
      </c>
    </row>
    <row r="64">
      <c r="A64" s="18" t="s">
        <v>639</v>
      </c>
      <c r="B64" s="22">
        <v>135.0</v>
      </c>
      <c r="C64" s="9">
        <v>6.2567595E7</v>
      </c>
      <c r="D64" s="9">
        <v>7401536.0</v>
      </c>
      <c r="E64" s="10" t="str">
        <f>IF(C64&gt;percent,"YES","NO")</f>
        <v>YES</v>
      </c>
      <c r="F64" s="19">
        <v>90000.0</v>
      </c>
      <c r="G64" s="12" t="str">
        <f t="shared" si="2"/>
        <v>NOT FUNDED</v>
      </c>
      <c r="H64" s="20">
        <f t="shared" si="3"/>
        <v>26166</v>
      </c>
      <c r="I64" s="14" t="str">
        <f t="shared" si="1"/>
        <v>Over Budget</v>
      </c>
    </row>
    <row r="65">
      <c r="A65" s="18" t="s">
        <v>640</v>
      </c>
      <c r="B65" s="22">
        <v>125.0</v>
      </c>
      <c r="C65" s="9">
        <v>6.2111068E7</v>
      </c>
      <c r="D65" s="9">
        <v>6814781.0</v>
      </c>
      <c r="E65" s="10" t="str">
        <f>IF(C65&gt;percent,"YES","NO")</f>
        <v>YES</v>
      </c>
      <c r="F65" s="19">
        <v>90000.0</v>
      </c>
      <c r="G65" s="12" t="str">
        <f t="shared" si="2"/>
        <v>NOT FUNDED</v>
      </c>
      <c r="H65" s="20">
        <f t="shared" si="3"/>
        <v>26166</v>
      </c>
      <c r="I65" s="14" t="str">
        <f t="shared" si="1"/>
        <v>Over Budget</v>
      </c>
    </row>
    <row r="66">
      <c r="A66" s="18" t="s">
        <v>641</v>
      </c>
      <c r="B66" s="22">
        <v>177.0</v>
      </c>
      <c r="C66" s="9">
        <v>6.1626151E7</v>
      </c>
      <c r="D66" s="9">
        <v>1.0188725E7</v>
      </c>
      <c r="E66" s="10" t="str">
        <f>IF(C66&gt;percent,"YES","NO")</f>
        <v>YES</v>
      </c>
      <c r="F66" s="19">
        <v>100000.0</v>
      </c>
      <c r="G66" s="12" t="str">
        <f t="shared" si="2"/>
        <v>NOT FUNDED</v>
      </c>
      <c r="H66" s="20">
        <f t="shared" si="3"/>
        <v>26166</v>
      </c>
      <c r="I66" s="14" t="str">
        <f t="shared" si="1"/>
        <v>Over Budget</v>
      </c>
    </row>
    <row r="67">
      <c r="A67" s="18" t="s">
        <v>642</v>
      </c>
      <c r="B67" s="22">
        <v>148.0</v>
      </c>
      <c r="C67" s="9">
        <v>6.0882762E7</v>
      </c>
      <c r="D67" s="9">
        <v>8907243.0</v>
      </c>
      <c r="E67" s="10" t="str">
        <f>IF(C67&gt;percent,"YES","NO")</f>
        <v>YES</v>
      </c>
      <c r="F67" s="19">
        <v>85000.0</v>
      </c>
      <c r="G67" s="12" t="str">
        <f t="shared" si="2"/>
        <v>NOT FUNDED</v>
      </c>
      <c r="H67" s="20">
        <f t="shared" si="3"/>
        <v>26166</v>
      </c>
      <c r="I67" s="14" t="str">
        <f t="shared" si="1"/>
        <v>Over Budget</v>
      </c>
    </row>
    <row r="68">
      <c r="A68" s="18" t="s">
        <v>643</v>
      </c>
      <c r="B68" s="22">
        <v>134.0</v>
      </c>
      <c r="C68" s="9">
        <v>6.0844179E7</v>
      </c>
      <c r="D68" s="9">
        <v>6332652.0</v>
      </c>
      <c r="E68" s="10" t="str">
        <f>IF(C68&gt;percent,"YES","NO")</f>
        <v>YES</v>
      </c>
      <c r="F68" s="19">
        <v>60000.0</v>
      </c>
      <c r="G68" s="12" t="str">
        <f t="shared" si="2"/>
        <v>NOT FUNDED</v>
      </c>
      <c r="H68" s="20">
        <f t="shared" si="3"/>
        <v>26166</v>
      </c>
      <c r="I68" s="14" t="str">
        <f t="shared" si="1"/>
        <v>Over Budget</v>
      </c>
    </row>
    <row r="69">
      <c r="A69" s="18" t="s">
        <v>644</v>
      </c>
      <c r="B69" s="22">
        <v>222.0</v>
      </c>
      <c r="C69" s="9">
        <v>6.0648401E7</v>
      </c>
      <c r="D69" s="9">
        <v>6764093.0</v>
      </c>
      <c r="E69" s="10" t="str">
        <f>IF(C69&gt;percent,"YES","NO")</f>
        <v>YES</v>
      </c>
      <c r="F69" s="19">
        <v>87000.0</v>
      </c>
      <c r="G69" s="12" t="str">
        <f t="shared" si="2"/>
        <v>NOT FUNDED</v>
      </c>
      <c r="H69" s="20">
        <f t="shared" si="3"/>
        <v>26166</v>
      </c>
      <c r="I69" s="14" t="str">
        <f t="shared" si="1"/>
        <v>Over Budget</v>
      </c>
    </row>
    <row r="70">
      <c r="A70" s="18" t="s">
        <v>645</v>
      </c>
      <c r="B70" s="22">
        <v>259.0</v>
      </c>
      <c r="C70" s="9">
        <v>6.0281973E7</v>
      </c>
      <c r="D70" s="9">
        <v>7896283.0</v>
      </c>
      <c r="E70" s="10" t="str">
        <f>IF(C70&gt;percent,"YES","NO")</f>
        <v>YES</v>
      </c>
      <c r="F70" s="19">
        <v>100000.0</v>
      </c>
      <c r="G70" s="12" t="str">
        <f t="shared" si="2"/>
        <v>NOT FUNDED</v>
      </c>
      <c r="H70" s="20">
        <f t="shared" si="3"/>
        <v>26166</v>
      </c>
      <c r="I70" s="14" t="str">
        <f t="shared" si="1"/>
        <v>Over Budget</v>
      </c>
    </row>
    <row r="71">
      <c r="A71" s="18" t="s">
        <v>646</v>
      </c>
      <c r="B71" s="22">
        <v>115.0</v>
      </c>
      <c r="C71" s="9">
        <v>5.9405858E7</v>
      </c>
      <c r="D71" s="9">
        <v>7231951.0</v>
      </c>
      <c r="E71" s="10" t="str">
        <f>IF(C71&gt;percent,"YES","NO")</f>
        <v>YES</v>
      </c>
      <c r="F71" s="19">
        <v>15000.0</v>
      </c>
      <c r="G71" s="12" t="str">
        <f t="shared" si="2"/>
        <v>FUNDED</v>
      </c>
      <c r="H71" s="20">
        <f t="shared" si="3"/>
        <v>11166</v>
      </c>
      <c r="I71" s="14" t="str">
        <f t="shared" si="1"/>
        <v/>
      </c>
    </row>
    <row r="72">
      <c r="A72" s="18" t="s">
        <v>647</v>
      </c>
      <c r="B72" s="22">
        <v>204.0</v>
      </c>
      <c r="C72" s="9">
        <v>5.9375932E7</v>
      </c>
      <c r="D72" s="9">
        <v>6602876.0</v>
      </c>
      <c r="E72" s="10" t="str">
        <f>IF(C72&gt;percent,"YES","NO")</f>
        <v>YES</v>
      </c>
      <c r="F72" s="19">
        <v>76500.0</v>
      </c>
      <c r="G72" s="12" t="str">
        <f t="shared" si="2"/>
        <v>NOT FUNDED</v>
      </c>
      <c r="H72" s="20">
        <f t="shared" si="3"/>
        <v>11166</v>
      </c>
      <c r="I72" s="14" t="str">
        <f t="shared" si="1"/>
        <v>Over Budget</v>
      </c>
    </row>
    <row r="73">
      <c r="A73" s="18" t="s">
        <v>648</v>
      </c>
      <c r="B73" s="22">
        <v>145.0</v>
      </c>
      <c r="C73" s="9">
        <v>5.9302054E7</v>
      </c>
      <c r="D73" s="9">
        <v>5004782.0</v>
      </c>
      <c r="E73" s="10" t="str">
        <f>IF(C73&gt;percent,"YES","NO")</f>
        <v>YES</v>
      </c>
      <c r="F73" s="19">
        <v>80000.0</v>
      </c>
      <c r="G73" s="12" t="str">
        <f t="shared" si="2"/>
        <v>NOT FUNDED</v>
      </c>
      <c r="H73" s="20">
        <f t="shared" si="3"/>
        <v>11166</v>
      </c>
      <c r="I73" s="14" t="str">
        <f t="shared" si="1"/>
        <v>Over Budget</v>
      </c>
    </row>
    <row r="74">
      <c r="A74" s="18" t="s">
        <v>649</v>
      </c>
      <c r="B74" s="22">
        <v>133.0</v>
      </c>
      <c r="C74" s="9">
        <v>5.8315178E7</v>
      </c>
      <c r="D74" s="9">
        <v>1.1102485E7</v>
      </c>
      <c r="E74" s="10" t="str">
        <f>IF(C74&gt;percent,"YES","NO")</f>
        <v>YES</v>
      </c>
      <c r="F74" s="19">
        <v>100000.0</v>
      </c>
      <c r="G74" s="12" t="str">
        <f t="shared" si="2"/>
        <v>NOT FUNDED</v>
      </c>
      <c r="H74" s="20">
        <f t="shared" si="3"/>
        <v>11166</v>
      </c>
      <c r="I74" s="14" t="str">
        <f t="shared" si="1"/>
        <v>Over Budget</v>
      </c>
    </row>
    <row r="75">
      <c r="A75" s="18" t="s">
        <v>650</v>
      </c>
      <c r="B75" s="22">
        <v>195.0</v>
      </c>
      <c r="C75" s="9">
        <v>5.8115308E7</v>
      </c>
      <c r="D75" s="9">
        <v>5697936.0</v>
      </c>
      <c r="E75" s="10" t="str">
        <f>IF(C75&gt;percent,"YES","NO")</f>
        <v>YES</v>
      </c>
      <c r="F75" s="19">
        <v>99861.0</v>
      </c>
      <c r="G75" s="12" t="str">
        <f t="shared" si="2"/>
        <v>NOT FUNDED</v>
      </c>
      <c r="H75" s="20">
        <f t="shared" si="3"/>
        <v>11166</v>
      </c>
      <c r="I75" s="14" t="str">
        <f t="shared" si="1"/>
        <v>Over Budget</v>
      </c>
    </row>
    <row r="76">
      <c r="A76" s="18" t="s">
        <v>651</v>
      </c>
      <c r="B76" s="22">
        <v>253.0</v>
      </c>
      <c r="C76" s="9">
        <v>5.6910276E7</v>
      </c>
      <c r="D76" s="9">
        <v>6424529.0</v>
      </c>
      <c r="E76" s="10" t="str">
        <f>IF(C76&gt;percent,"YES","NO")</f>
        <v>YES</v>
      </c>
      <c r="F76" s="19">
        <v>65000.0</v>
      </c>
      <c r="G76" s="12" t="str">
        <f t="shared" si="2"/>
        <v>NOT FUNDED</v>
      </c>
      <c r="H76" s="20">
        <f t="shared" si="3"/>
        <v>11166</v>
      </c>
      <c r="I76" s="14" t="str">
        <f t="shared" si="1"/>
        <v>Over Budget</v>
      </c>
    </row>
    <row r="77">
      <c r="A77" s="18" t="s">
        <v>652</v>
      </c>
      <c r="B77" s="22">
        <v>133.0</v>
      </c>
      <c r="C77" s="9">
        <v>5.6832084E7</v>
      </c>
      <c r="D77" s="9">
        <v>3904910.0</v>
      </c>
      <c r="E77" s="10" t="str">
        <f>IF(C77&gt;percent,"YES","NO")</f>
        <v>YES</v>
      </c>
      <c r="F77" s="19">
        <v>68000.0</v>
      </c>
      <c r="G77" s="12" t="str">
        <f t="shared" si="2"/>
        <v>NOT FUNDED</v>
      </c>
      <c r="H77" s="20">
        <f t="shared" si="3"/>
        <v>11166</v>
      </c>
      <c r="I77" s="14" t="str">
        <f t="shared" si="1"/>
        <v>Over Budget</v>
      </c>
    </row>
    <row r="78">
      <c r="A78" s="18" t="s">
        <v>653</v>
      </c>
      <c r="B78" s="22">
        <v>201.0</v>
      </c>
      <c r="C78" s="9">
        <v>5.6245554E7</v>
      </c>
      <c r="D78" s="9">
        <v>8308241.0</v>
      </c>
      <c r="E78" s="10" t="str">
        <f>IF(C78&gt;percent,"YES","NO")</f>
        <v>YES</v>
      </c>
      <c r="F78" s="19">
        <v>97600.0</v>
      </c>
      <c r="G78" s="12" t="str">
        <f t="shared" si="2"/>
        <v>NOT FUNDED</v>
      </c>
      <c r="H78" s="20">
        <f t="shared" si="3"/>
        <v>11166</v>
      </c>
      <c r="I78" s="14" t="str">
        <f t="shared" si="1"/>
        <v>Over Budget</v>
      </c>
    </row>
    <row r="79">
      <c r="A79" s="18" t="s">
        <v>654</v>
      </c>
      <c r="B79" s="22">
        <v>204.0</v>
      </c>
      <c r="C79" s="9">
        <v>5.6099278E7</v>
      </c>
      <c r="D79" s="9">
        <v>6933214.0</v>
      </c>
      <c r="E79" s="10" t="str">
        <f>IF(C79&gt;percent,"YES","NO")</f>
        <v>YES</v>
      </c>
      <c r="F79" s="19">
        <v>87600.0</v>
      </c>
      <c r="G79" s="12" t="str">
        <f t="shared" si="2"/>
        <v>NOT FUNDED</v>
      </c>
      <c r="H79" s="20">
        <f t="shared" si="3"/>
        <v>11166</v>
      </c>
      <c r="I79" s="14" t="str">
        <f t="shared" si="1"/>
        <v>Over Budget</v>
      </c>
    </row>
    <row r="80">
      <c r="A80" s="18" t="s">
        <v>655</v>
      </c>
      <c r="B80" s="22">
        <v>129.0</v>
      </c>
      <c r="C80" s="9">
        <v>5.5250223E7</v>
      </c>
      <c r="D80" s="9">
        <v>1.1794952E7</v>
      </c>
      <c r="E80" s="10" t="str">
        <f>IF(C80&gt;percent,"YES","NO")</f>
        <v>YES</v>
      </c>
      <c r="F80" s="19">
        <v>100000.0</v>
      </c>
      <c r="G80" s="12" t="str">
        <f t="shared" si="2"/>
        <v>NOT FUNDED</v>
      </c>
      <c r="H80" s="20">
        <f t="shared" si="3"/>
        <v>11166</v>
      </c>
      <c r="I80" s="14" t="str">
        <f t="shared" si="1"/>
        <v>Over Budget</v>
      </c>
    </row>
    <row r="81">
      <c r="A81" s="18" t="s">
        <v>656</v>
      </c>
      <c r="B81" s="22">
        <v>156.0</v>
      </c>
      <c r="C81" s="9">
        <v>5.4120191E7</v>
      </c>
      <c r="D81" s="9">
        <v>7895308.0</v>
      </c>
      <c r="E81" s="10" t="str">
        <f>IF(C81&gt;percent,"YES","NO")</f>
        <v>YES</v>
      </c>
      <c r="F81" s="19">
        <v>75000.0</v>
      </c>
      <c r="G81" s="12" t="str">
        <f t="shared" si="2"/>
        <v>NOT FUNDED</v>
      </c>
      <c r="H81" s="20">
        <f t="shared" si="3"/>
        <v>11166</v>
      </c>
      <c r="I81" s="14" t="str">
        <f t="shared" si="1"/>
        <v>Over Budget</v>
      </c>
    </row>
    <row r="82">
      <c r="A82" s="18" t="s">
        <v>657</v>
      </c>
      <c r="B82" s="22">
        <v>131.0</v>
      </c>
      <c r="C82" s="9">
        <v>5.2899803E7</v>
      </c>
      <c r="D82" s="9">
        <v>2.2032461E7</v>
      </c>
      <c r="E82" s="10" t="str">
        <f>IF(C82&gt;percent,"YES","NO")</f>
        <v>YES</v>
      </c>
      <c r="F82" s="19">
        <v>85000.0</v>
      </c>
      <c r="G82" s="12" t="str">
        <f t="shared" si="2"/>
        <v>NOT FUNDED</v>
      </c>
      <c r="H82" s="20">
        <f t="shared" si="3"/>
        <v>11166</v>
      </c>
      <c r="I82" s="14" t="str">
        <f t="shared" si="1"/>
        <v>Over Budget</v>
      </c>
    </row>
    <row r="83">
      <c r="A83" s="18" t="s">
        <v>658</v>
      </c>
      <c r="B83" s="22">
        <v>123.0</v>
      </c>
      <c r="C83" s="9">
        <v>5.2833863E7</v>
      </c>
      <c r="D83" s="9">
        <v>1.2353839E7</v>
      </c>
      <c r="E83" s="10" t="str">
        <f>IF(C83&gt;percent,"YES","NO")</f>
        <v>YES</v>
      </c>
      <c r="F83" s="19">
        <v>100000.0</v>
      </c>
      <c r="G83" s="12" t="str">
        <f t="shared" si="2"/>
        <v>NOT FUNDED</v>
      </c>
      <c r="H83" s="20">
        <f t="shared" si="3"/>
        <v>11166</v>
      </c>
      <c r="I83" s="14" t="str">
        <f t="shared" si="1"/>
        <v>Over Budget</v>
      </c>
    </row>
    <row r="84">
      <c r="A84" s="18" t="s">
        <v>659</v>
      </c>
      <c r="B84" s="22">
        <v>152.0</v>
      </c>
      <c r="C84" s="9">
        <v>5.2482545E7</v>
      </c>
      <c r="D84" s="9">
        <v>2.3384722E7</v>
      </c>
      <c r="E84" s="10" t="str">
        <f>IF(C84&gt;percent,"YES","NO")</f>
        <v>YES</v>
      </c>
      <c r="F84" s="19">
        <v>80000.0</v>
      </c>
      <c r="G84" s="12" t="str">
        <f t="shared" si="2"/>
        <v>NOT FUNDED</v>
      </c>
      <c r="H84" s="20">
        <f t="shared" si="3"/>
        <v>11166</v>
      </c>
      <c r="I84" s="14" t="str">
        <f t="shared" si="1"/>
        <v>Over Budget</v>
      </c>
    </row>
    <row r="85">
      <c r="A85" s="18" t="s">
        <v>660</v>
      </c>
      <c r="B85" s="22">
        <v>143.0</v>
      </c>
      <c r="C85" s="9">
        <v>5.2301414E7</v>
      </c>
      <c r="D85" s="9">
        <v>6586084.0</v>
      </c>
      <c r="E85" s="10" t="str">
        <f>IF(C85&gt;percent,"YES","NO")</f>
        <v>YES</v>
      </c>
      <c r="F85" s="19">
        <v>95000.0</v>
      </c>
      <c r="G85" s="12" t="str">
        <f t="shared" si="2"/>
        <v>NOT FUNDED</v>
      </c>
      <c r="H85" s="20">
        <f t="shared" si="3"/>
        <v>11166</v>
      </c>
      <c r="I85" s="14" t="str">
        <f t="shared" si="1"/>
        <v>Over Budget</v>
      </c>
    </row>
    <row r="86">
      <c r="A86" s="18" t="s">
        <v>661</v>
      </c>
      <c r="B86" s="22">
        <v>259.0</v>
      </c>
      <c r="C86" s="9">
        <v>5.199965E7</v>
      </c>
      <c r="D86" s="9">
        <v>2.1844152E7</v>
      </c>
      <c r="E86" s="10" t="str">
        <f>IF(C86&gt;percent,"YES","NO")</f>
        <v>YES</v>
      </c>
      <c r="F86" s="19">
        <v>67200.0</v>
      </c>
      <c r="G86" s="12" t="str">
        <f t="shared" si="2"/>
        <v>NOT FUNDED</v>
      </c>
      <c r="H86" s="20">
        <f t="shared" si="3"/>
        <v>11166</v>
      </c>
      <c r="I86" s="14" t="str">
        <f t="shared" si="1"/>
        <v>Over Budget</v>
      </c>
    </row>
    <row r="87">
      <c r="A87" s="18" t="s">
        <v>662</v>
      </c>
      <c r="B87" s="22">
        <v>250.0</v>
      </c>
      <c r="C87" s="9">
        <v>5.1987851E7</v>
      </c>
      <c r="D87" s="9">
        <v>1.1308329E7</v>
      </c>
      <c r="E87" s="10" t="str">
        <f>IF(C87&gt;percent,"YES","NO")</f>
        <v>YES</v>
      </c>
      <c r="F87" s="19">
        <v>100000.0</v>
      </c>
      <c r="G87" s="12" t="str">
        <f t="shared" si="2"/>
        <v>NOT FUNDED</v>
      </c>
      <c r="H87" s="20">
        <f t="shared" si="3"/>
        <v>11166</v>
      </c>
      <c r="I87" s="14" t="str">
        <f t="shared" si="1"/>
        <v>Over Budget</v>
      </c>
    </row>
    <row r="88">
      <c r="A88" s="18" t="s">
        <v>663</v>
      </c>
      <c r="B88" s="22">
        <v>139.0</v>
      </c>
      <c r="C88" s="9">
        <v>5.0737589E7</v>
      </c>
      <c r="D88" s="9">
        <v>7384563.0</v>
      </c>
      <c r="E88" s="10" t="str">
        <f>IF(C88&gt;percent,"YES","NO")</f>
        <v>YES</v>
      </c>
      <c r="F88" s="19">
        <v>70000.0</v>
      </c>
      <c r="G88" s="12" t="str">
        <f t="shared" si="2"/>
        <v>NOT FUNDED</v>
      </c>
      <c r="H88" s="20">
        <f t="shared" si="3"/>
        <v>11166</v>
      </c>
      <c r="I88" s="14" t="str">
        <f t="shared" si="1"/>
        <v>Over Budget</v>
      </c>
    </row>
    <row r="89">
      <c r="A89" s="18" t="s">
        <v>664</v>
      </c>
      <c r="B89" s="22">
        <v>133.0</v>
      </c>
      <c r="C89" s="9">
        <v>5.0697254E7</v>
      </c>
      <c r="D89" s="9">
        <v>1.2361268E7</v>
      </c>
      <c r="E89" s="10" t="str">
        <f>IF(C89&gt;percent,"YES","NO")</f>
        <v>YES</v>
      </c>
      <c r="F89" s="19">
        <v>100000.0</v>
      </c>
      <c r="G89" s="12" t="str">
        <f t="shared" si="2"/>
        <v>NOT FUNDED</v>
      </c>
      <c r="H89" s="20">
        <f t="shared" si="3"/>
        <v>11166</v>
      </c>
      <c r="I89" s="14" t="str">
        <f t="shared" si="1"/>
        <v>Over Budget</v>
      </c>
    </row>
    <row r="90">
      <c r="A90" s="18" t="s">
        <v>665</v>
      </c>
      <c r="B90" s="22">
        <v>178.0</v>
      </c>
      <c r="C90" s="9">
        <v>4.9306268E7</v>
      </c>
      <c r="D90" s="9">
        <v>8505860.0</v>
      </c>
      <c r="E90" s="10" t="str">
        <f>IF(C90&gt;percent,"YES","NO")</f>
        <v>YES</v>
      </c>
      <c r="F90" s="19">
        <v>20000.0</v>
      </c>
      <c r="G90" s="12" t="str">
        <f t="shared" si="2"/>
        <v>NOT FUNDED</v>
      </c>
      <c r="H90" s="20">
        <f t="shared" si="3"/>
        <v>11166</v>
      </c>
      <c r="I90" s="14" t="str">
        <f t="shared" si="1"/>
        <v>Over Budget</v>
      </c>
    </row>
    <row r="91">
      <c r="A91" s="18" t="s">
        <v>666</v>
      </c>
      <c r="B91" s="22">
        <v>157.0</v>
      </c>
      <c r="C91" s="9">
        <v>4.9222574E7</v>
      </c>
      <c r="D91" s="9">
        <v>7841934.0</v>
      </c>
      <c r="E91" s="10" t="str">
        <f>IF(C91&gt;percent,"YES","NO")</f>
        <v>YES</v>
      </c>
      <c r="F91" s="19">
        <v>75000.0</v>
      </c>
      <c r="G91" s="12" t="str">
        <f t="shared" si="2"/>
        <v>NOT FUNDED</v>
      </c>
      <c r="H91" s="20">
        <f t="shared" si="3"/>
        <v>11166</v>
      </c>
      <c r="I91" s="14" t="str">
        <f t="shared" si="1"/>
        <v>Over Budget</v>
      </c>
    </row>
    <row r="92">
      <c r="A92" s="18" t="s">
        <v>667</v>
      </c>
      <c r="B92" s="22">
        <v>175.0</v>
      </c>
      <c r="C92" s="9">
        <v>4.903283E7</v>
      </c>
      <c r="D92" s="9">
        <v>5468567.0</v>
      </c>
      <c r="E92" s="10" t="str">
        <f>IF(C92&gt;percent,"YES","NO")</f>
        <v>YES</v>
      </c>
      <c r="F92" s="19">
        <v>40000.0</v>
      </c>
      <c r="G92" s="12" t="str">
        <f t="shared" si="2"/>
        <v>NOT FUNDED</v>
      </c>
      <c r="H92" s="20">
        <f t="shared" si="3"/>
        <v>11166</v>
      </c>
      <c r="I92" s="14" t="str">
        <f t="shared" si="1"/>
        <v>Over Budget</v>
      </c>
    </row>
    <row r="93">
      <c r="A93" s="18" t="s">
        <v>668</v>
      </c>
      <c r="B93" s="22">
        <v>127.0</v>
      </c>
      <c r="C93" s="9">
        <v>4.8878005E7</v>
      </c>
      <c r="D93" s="9">
        <v>8368747.0</v>
      </c>
      <c r="E93" s="10" t="str">
        <f>IF(C93&gt;percent,"YES","NO")</f>
        <v>YES</v>
      </c>
      <c r="F93" s="19">
        <v>60000.0</v>
      </c>
      <c r="G93" s="12" t="str">
        <f t="shared" si="2"/>
        <v>NOT FUNDED</v>
      </c>
      <c r="H93" s="20">
        <f t="shared" si="3"/>
        <v>11166</v>
      </c>
      <c r="I93" s="14" t="str">
        <f t="shared" si="1"/>
        <v>Over Budget</v>
      </c>
    </row>
    <row r="94">
      <c r="A94" s="18" t="s">
        <v>669</v>
      </c>
      <c r="B94" s="22">
        <v>197.0</v>
      </c>
      <c r="C94" s="9">
        <v>4.8345528E7</v>
      </c>
      <c r="D94" s="9">
        <v>1.078778E7</v>
      </c>
      <c r="E94" s="10" t="str">
        <f>IF(C94&gt;percent,"YES","NO")</f>
        <v>YES</v>
      </c>
      <c r="F94" s="19">
        <v>100000.0</v>
      </c>
      <c r="G94" s="12" t="str">
        <f t="shared" si="2"/>
        <v>NOT FUNDED</v>
      </c>
      <c r="H94" s="20">
        <f t="shared" si="3"/>
        <v>11166</v>
      </c>
      <c r="I94" s="14" t="str">
        <f t="shared" si="1"/>
        <v>Over Budget</v>
      </c>
    </row>
    <row r="95">
      <c r="A95" s="18" t="s">
        <v>670</v>
      </c>
      <c r="B95" s="22">
        <v>146.0</v>
      </c>
      <c r="C95" s="9">
        <v>4.81882E7</v>
      </c>
      <c r="D95" s="9">
        <v>5887506.0</v>
      </c>
      <c r="E95" s="10" t="str">
        <f>IF(C95&gt;percent,"YES","NO")</f>
        <v>YES</v>
      </c>
      <c r="F95" s="19">
        <v>50000.0</v>
      </c>
      <c r="G95" s="12" t="str">
        <f t="shared" si="2"/>
        <v>NOT FUNDED</v>
      </c>
      <c r="H95" s="20">
        <f t="shared" si="3"/>
        <v>11166</v>
      </c>
      <c r="I95" s="14" t="str">
        <f t="shared" si="1"/>
        <v>Over Budget</v>
      </c>
    </row>
    <row r="96">
      <c r="A96" s="18" t="s">
        <v>671</v>
      </c>
      <c r="B96" s="22">
        <v>152.0</v>
      </c>
      <c r="C96" s="9">
        <v>4.8070658E7</v>
      </c>
      <c r="D96" s="9">
        <v>7742137.0</v>
      </c>
      <c r="E96" s="10" t="str">
        <f>IF(C96&gt;percent,"YES","NO")</f>
        <v>YES</v>
      </c>
      <c r="F96" s="19">
        <v>75000.0</v>
      </c>
      <c r="G96" s="12" t="str">
        <f t="shared" si="2"/>
        <v>NOT FUNDED</v>
      </c>
      <c r="H96" s="20">
        <f t="shared" si="3"/>
        <v>11166</v>
      </c>
      <c r="I96" s="14" t="str">
        <f t="shared" si="1"/>
        <v>Over Budget</v>
      </c>
    </row>
    <row r="97">
      <c r="A97" s="18" t="s">
        <v>672</v>
      </c>
      <c r="B97" s="22">
        <v>125.0</v>
      </c>
      <c r="C97" s="9">
        <v>4.6713285E7</v>
      </c>
      <c r="D97" s="9">
        <v>3977673.0</v>
      </c>
      <c r="E97" s="10" t="str">
        <f>IF(C97&gt;percent,"YES","NO")</f>
        <v>YES</v>
      </c>
      <c r="F97" s="19">
        <v>65000.0</v>
      </c>
      <c r="G97" s="12" t="str">
        <f t="shared" si="2"/>
        <v>NOT FUNDED</v>
      </c>
      <c r="H97" s="20">
        <f t="shared" si="3"/>
        <v>11166</v>
      </c>
      <c r="I97" s="14" t="str">
        <f t="shared" si="1"/>
        <v>Over Budget</v>
      </c>
    </row>
    <row r="98">
      <c r="A98" s="18" t="s">
        <v>673</v>
      </c>
      <c r="B98" s="22">
        <v>108.0</v>
      </c>
      <c r="C98" s="9">
        <v>4.6684105E7</v>
      </c>
      <c r="D98" s="9">
        <v>1.0403116E7</v>
      </c>
      <c r="E98" s="10" t="str">
        <f>IF(C98&gt;percent,"YES","NO")</f>
        <v>YES</v>
      </c>
      <c r="F98" s="19">
        <v>70000.0</v>
      </c>
      <c r="G98" s="12" t="str">
        <f t="shared" si="2"/>
        <v>NOT FUNDED</v>
      </c>
      <c r="H98" s="20">
        <f t="shared" si="3"/>
        <v>11166</v>
      </c>
      <c r="I98" s="14" t="str">
        <f t="shared" si="1"/>
        <v>Over Budget</v>
      </c>
    </row>
    <row r="99">
      <c r="A99" s="18" t="s">
        <v>674</v>
      </c>
      <c r="B99" s="22">
        <v>158.0</v>
      </c>
      <c r="C99" s="9">
        <v>4.5832383E7</v>
      </c>
      <c r="D99" s="9">
        <v>1.121367E7</v>
      </c>
      <c r="E99" s="10" t="str">
        <f>IF(C99&gt;percent,"YES","NO")</f>
        <v>YES</v>
      </c>
      <c r="F99" s="19">
        <v>100000.0</v>
      </c>
      <c r="G99" s="12" t="str">
        <f t="shared" si="2"/>
        <v>NOT FUNDED</v>
      </c>
      <c r="H99" s="20">
        <f t="shared" si="3"/>
        <v>11166</v>
      </c>
      <c r="I99" s="14" t="str">
        <f t="shared" si="1"/>
        <v>Over Budget</v>
      </c>
    </row>
    <row r="100">
      <c r="A100" s="18" t="s">
        <v>675</v>
      </c>
      <c r="B100" s="22">
        <v>113.0</v>
      </c>
      <c r="C100" s="9">
        <v>4.5459923E7</v>
      </c>
      <c r="D100" s="9">
        <v>2.2944004E7</v>
      </c>
      <c r="E100" s="10" t="str">
        <f>IF(C100&gt;percent,"YES","NO")</f>
        <v>YES</v>
      </c>
      <c r="F100" s="19">
        <v>60000.0</v>
      </c>
      <c r="G100" s="12" t="str">
        <f t="shared" si="2"/>
        <v>NOT FUNDED</v>
      </c>
      <c r="H100" s="20">
        <f t="shared" si="3"/>
        <v>11166</v>
      </c>
      <c r="I100" s="14" t="str">
        <f t="shared" si="1"/>
        <v>Over Budget</v>
      </c>
    </row>
    <row r="101">
      <c r="A101" s="18" t="s">
        <v>676</v>
      </c>
      <c r="B101" s="22">
        <v>185.0</v>
      </c>
      <c r="C101" s="9">
        <v>4.4251759E7</v>
      </c>
      <c r="D101" s="9">
        <v>1.0496811E7</v>
      </c>
      <c r="E101" s="10" t="str">
        <f>IF(C101&gt;percent,"YES","NO")</f>
        <v>NO</v>
      </c>
      <c r="F101" s="19">
        <v>100000.0</v>
      </c>
      <c r="G101" s="12" t="str">
        <f t="shared" si="2"/>
        <v>NOT FUNDED</v>
      </c>
      <c r="H101" s="20">
        <f t="shared" si="3"/>
        <v>11166</v>
      </c>
      <c r="I101" s="14" t="str">
        <f t="shared" si="1"/>
        <v>Approval Threshold</v>
      </c>
    </row>
    <row r="102">
      <c r="A102" s="18" t="s">
        <v>677</v>
      </c>
      <c r="B102" s="22">
        <v>118.0</v>
      </c>
      <c r="C102" s="9">
        <v>4.4199912E7</v>
      </c>
      <c r="D102" s="9">
        <v>8001691.0</v>
      </c>
      <c r="E102" s="10" t="str">
        <f>IF(C102&gt;percent,"YES","NO")</f>
        <v>NO</v>
      </c>
      <c r="F102" s="19">
        <v>36000.0</v>
      </c>
      <c r="G102" s="12" t="str">
        <f t="shared" si="2"/>
        <v>NOT FUNDED</v>
      </c>
      <c r="H102" s="20">
        <f t="shared" si="3"/>
        <v>11166</v>
      </c>
      <c r="I102" s="14" t="str">
        <f t="shared" si="1"/>
        <v>Approval Threshold</v>
      </c>
    </row>
    <row r="103">
      <c r="A103" s="18" t="s">
        <v>678</v>
      </c>
      <c r="B103" s="22">
        <v>137.0</v>
      </c>
      <c r="C103" s="9">
        <v>4.4197297E7</v>
      </c>
      <c r="D103" s="9">
        <v>1.0291443E7</v>
      </c>
      <c r="E103" s="10" t="str">
        <f>IF(C103&gt;percent,"YES","NO")</f>
        <v>NO</v>
      </c>
      <c r="F103" s="19">
        <v>100000.0</v>
      </c>
      <c r="G103" s="12" t="str">
        <f t="shared" si="2"/>
        <v>NOT FUNDED</v>
      </c>
      <c r="H103" s="20">
        <f t="shared" si="3"/>
        <v>11166</v>
      </c>
      <c r="I103" s="14" t="str">
        <f t="shared" si="1"/>
        <v>Approval Threshold</v>
      </c>
    </row>
    <row r="104">
      <c r="A104" s="18" t="s">
        <v>679</v>
      </c>
      <c r="B104" s="22">
        <v>154.0</v>
      </c>
      <c r="C104" s="9">
        <v>4.3970685E7</v>
      </c>
      <c r="D104" s="9">
        <v>8122145.0</v>
      </c>
      <c r="E104" s="10" t="str">
        <f>IF(C104&gt;percent,"YES","NO")</f>
        <v>NO</v>
      </c>
      <c r="F104" s="19">
        <v>75000.0</v>
      </c>
      <c r="G104" s="12" t="str">
        <f t="shared" si="2"/>
        <v>NOT FUNDED</v>
      </c>
      <c r="H104" s="20">
        <f t="shared" si="3"/>
        <v>11166</v>
      </c>
      <c r="I104" s="14" t="str">
        <f t="shared" si="1"/>
        <v>Approval Threshold</v>
      </c>
    </row>
    <row r="105">
      <c r="A105" s="18" t="s">
        <v>680</v>
      </c>
      <c r="B105" s="22">
        <v>140.0</v>
      </c>
      <c r="C105" s="9">
        <v>4.3493142E7</v>
      </c>
      <c r="D105" s="9">
        <v>7943841.0</v>
      </c>
      <c r="E105" s="10" t="str">
        <f>IF(C105&gt;percent,"YES","NO")</f>
        <v>NO</v>
      </c>
      <c r="F105" s="19">
        <v>100000.0</v>
      </c>
      <c r="G105" s="12" t="str">
        <f t="shared" si="2"/>
        <v>NOT FUNDED</v>
      </c>
      <c r="H105" s="20">
        <f t="shared" si="3"/>
        <v>11166</v>
      </c>
      <c r="I105" s="14" t="str">
        <f t="shared" si="1"/>
        <v>Approval Threshold</v>
      </c>
    </row>
    <row r="106">
      <c r="A106" s="18" t="s">
        <v>681</v>
      </c>
      <c r="B106" s="22">
        <v>162.0</v>
      </c>
      <c r="C106" s="9">
        <v>4.1054591E7</v>
      </c>
      <c r="D106" s="9">
        <v>1.2199689E7</v>
      </c>
      <c r="E106" s="10" t="str">
        <f>IF(C106&gt;percent,"YES","NO")</f>
        <v>NO</v>
      </c>
      <c r="F106" s="19">
        <v>100000.0</v>
      </c>
      <c r="G106" s="12" t="str">
        <f t="shared" si="2"/>
        <v>NOT FUNDED</v>
      </c>
      <c r="H106" s="20">
        <f t="shared" si="3"/>
        <v>11166</v>
      </c>
      <c r="I106" s="14" t="str">
        <f t="shared" si="1"/>
        <v>Approval Threshold</v>
      </c>
    </row>
    <row r="107">
      <c r="A107" s="18" t="s">
        <v>682</v>
      </c>
      <c r="B107" s="22">
        <v>127.0</v>
      </c>
      <c r="C107" s="9">
        <v>4.0564228E7</v>
      </c>
      <c r="D107" s="9">
        <v>1.2397943E7</v>
      </c>
      <c r="E107" s="10" t="str">
        <f>IF(C107&gt;percent,"YES","NO")</f>
        <v>NO</v>
      </c>
      <c r="F107" s="19">
        <v>100000.0</v>
      </c>
      <c r="G107" s="12" t="str">
        <f t="shared" si="2"/>
        <v>NOT FUNDED</v>
      </c>
      <c r="H107" s="20">
        <f t="shared" si="3"/>
        <v>11166</v>
      </c>
      <c r="I107" s="14" t="str">
        <f t="shared" si="1"/>
        <v>Approval Threshold</v>
      </c>
    </row>
    <row r="108">
      <c r="A108" s="18" t="s">
        <v>683</v>
      </c>
      <c r="B108" s="22">
        <v>148.0</v>
      </c>
      <c r="C108" s="9">
        <v>3.9645423E7</v>
      </c>
      <c r="D108" s="9">
        <v>6763706.0</v>
      </c>
      <c r="E108" s="10" t="str">
        <f>IF(C108&gt;percent,"YES","NO")</f>
        <v>NO</v>
      </c>
      <c r="F108" s="19">
        <v>50000.0</v>
      </c>
      <c r="G108" s="12" t="str">
        <f t="shared" si="2"/>
        <v>NOT FUNDED</v>
      </c>
      <c r="H108" s="20">
        <f t="shared" si="3"/>
        <v>11166</v>
      </c>
      <c r="I108" s="14" t="str">
        <f t="shared" si="1"/>
        <v>Approval Threshold</v>
      </c>
    </row>
    <row r="109">
      <c r="A109" s="18" t="s">
        <v>684</v>
      </c>
      <c r="B109" s="22">
        <v>132.0</v>
      </c>
      <c r="C109" s="9">
        <v>3.8657118E7</v>
      </c>
      <c r="D109" s="9">
        <v>1.0555E7</v>
      </c>
      <c r="E109" s="10" t="str">
        <f>IF(C109&gt;percent,"YES","NO")</f>
        <v>NO</v>
      </c>
      <c r="F109" s="19">
        <v>65000.0</v>
      </c>
      <c r="G109" s="12" t="str">
        <f t="shared" si="2"/>
        <v>NOT FUNDED</v>
      </c>
      <c r="H109" s="20">
        <f t="shared" si="3"/>
        <v>11166</v>
      </c>
      <c r="I109" s="14" t="str">
        <f t="shared" si="1"/>
        <v>Approval Threshold</v>
      </c>
    </row>
    <row r="110">
      <c r="A110" s="18" t="s">
        <v>685</v>
      </c>
      <c r="B110" s="22">
        <v>205.0</v>
      </c>
      <c r="C110" s="9">
        <v>3.806259E7</v>
      </c>
      <c r="D110" s="9">
        <v>6846636.0</v>
      </c>
      <c r="E110" s="10" t="str">
        <f>IF(C110&gt;percent,"YES","NO")</f>
        <v>NO</v>
      </c>
      <c r="F110" s="19">
        <v>28400.0</v>
      </c>
      <c r="G110" s="12" t="str">
        <f t="shared" si="2"/>
        <v>NOT FUNDED</v>
      </c>
      <c r="H110" s="20">
        <f t="shared" si="3"/>
        <v>11166</v>
      </c>
      <c r="I110" s="14" t="str">
        <f t="shared" si="1"/>
        <v>Approval Threshold</v>
      </c>
    </row>
    <row r="111">
      <c r="A111" s="18" t="s">
        <v>686</v>
      </c>
      <c r="B111" s="22">
        <v>139.0</v>
      </c>
      <c r="C111" s="9">
        <v>3.7657058E7</v>
      </c>
      <c r="D111" s="9">
        <v>5454843.0</v>
      </c>
      <c r="E111" s="10" t="str">
        <f>IF(C111&gt;percent,"YES","NO")</f>
        <v>NO</v>
      </c>
      <c r="F111" s="19">
        <v>20000.0</v>
      </c>
      <c r="G111" s="12" t="str">
        <f t="shared" si="2"/>
        <v>NOT FUNDED</v>
      </c>
      <c r="H111" s="20">
        <f t="shared" si="3"/>
        <v>11166</v>
      </c>
      <c r="I111" s="14" t="str">
        <f t="shared" si="1"/>
        <v>Approval Threshold</v>
      </c>
    </row>
    <row r="112">
      <c r="A112" s="18" t="s">
        <v>687</v>
      </c>
      <c r="B112" s="22">
        <v>224.0</v>
      </c>
      <c r="C112" s="9">
        <v>3.7646376E7</v>
      </c>
      <c r="D112" s="9">
        <v>7983169.0</v>
      </c>
      <c r="E112" s="10" t="str">
        <f>IF(C112&gt;percent,"YES","NO")</f>
        <v>NO</v>
      </c>
      <c r="F112" s="19">
        <v>96875.0</v>
      </c>
      <c r="G112" s="12" t="str">
        <f t="shared" si="2"/>
        <v>NOT FUNDED</v>
      </c>
      <c r="H112" s="20">
        <f t="shared" si="3"/>
        <v>11166</v>
      </c>
      <c r="I112" s="14" t="str">
        <f t="shared" si="1"/>
        <v>Approval Threshold</v>
      </c>
    </row>
    <row r="113">
      <c r="A113" s="18" t="s">
        <v>688</v>
      </c>
      <c r="B113" s="22">
        <v>237.0</v>
      </c>
      <c r="C113" s="9">
        <v>3.692162E7</v>
      </c>
      <c r="D113" s="9">
        <v>1.0564924E7</v>
      </c>
      <c r="E113" s="10" t="str">
        <f>IF(C113&gt;percent,"YES","NO")</f>
        <v>NO</v>
      </c>
      <c r="F113" s="19">
        <v>100000.0</v>
      </c>
      <c r="G113" s="12" t="str">
        <f t="shared" si="2"/>
        <v>NOT FUNDED</v>
      </c>
      <c r="H113" s="20">
        <f t="shared" si="3"/>
        <v>11166</v>
      </c>
      <c r="I113" s="14" t="str">
        <f t="shared" si="1"/>
        <v>Approval Threshold</v>
      </c>
    </row>
    <row r="114">
      <c r="A114" s="18" t="s">
        <v>689</v>
      </c>
      <c r="B114" s="22">
        <v>101.0</v>
      </c>
      <c r="C114" s="9">
        <v>3.628381E7</v>
      </c>
      <c r="D114" s="9">
        <v>6318379.0</v>
      </c>
      <c r="E114" s="10" t="str">
        <f>IF(C114&gt;percent,"YES","NO")</f>
        <v>NO</v>
      </c>
      <c r="F114" s="19">
        <v>95000.0</v>
      </c>
      <c r="G114" s="12" t="str">
        <f t="shared" si="2"/>
        <v>NOT FUNDED</v>
      </c>
      <c r="H114" s="20">
        <f t="shared" si="3"/>
        <v>11166</v>
      </c>
      <c r="I114" s="14" t="str">
        <f t="shared" si="1"/>
        <v>Approval Threshold</v>
      </c>
    </row>
    <row r="115">
      <c r="A115" s="18" t="s">
        <v>690</v>
      </c>
      <c r="B115" s="22">
        <v>172.0</v>
      </c>
      <c r="C115" s="9">
        <v>3.6259132E7</v>
      </c>
      <c r="D115" s="9">
        <v>7670586.0</v>
      </c>
      <c r="E115" s="10" t="str">
        <f>IF(C115&gt;percent,"YES","NO")</f>
        <v>NO</v>
      </c>
      <c r="F115" s="19">
        <v>90000.0</v>
      </c>
      <c r="G115" s="12" t="str">
        <f t="shared" si="2"/>
        <v>NOT FUNDED</v>
      </c>
      <c r="H115" s="20">
        <f t="shared" si="3"/>
        <v>11166</v>
      </c>
      <c r="I115" s="14" t="str">
        <f t="shared" si="1"/>
        <v>Approval Threshold</v>
      </c>
    </row>
    <row r="116">
      <c r="A116" s="18" t="s">
        <v>691</v>
      </c>
      <c r="B116" s="22">
        <v>133.0</v>
      </c>
      <c r="C116" s="9">
        <v>3.5860272E7</v>
      </c>
      <c r="D116" s="9">
        <v>4981023.0</v>
      </c>
      <c r="E116" s="10" t="str">
        <f>IF(C116&gt;percent,"YES","NO")</f>
        <v>NO</v>
      </c>
      <c r="F116" s="19">
        <v>85000.0</v>
      </c>
      <c r="G116" s="12" t="str">
        <f t="shared" si="2"/>
        <v>NOT FUNDED</v>
      </c>
      <c r="H116" s="20">
        <f t="shared" si="3"/>
        <v>11166</v>
      </c>
      <c r="I116" s="14" t="str">
        <f t="shared" si="1"/>
        <v>Approval Threshold</v>
      </c>
    </row>
    <row r="117">
      <c r="A117" s="18" t="s">
        <v>692</v>
      </c>
      <c r="B117" s="22">
        <v>193.0</v>
      </c>
      <c r="C117" s="9">
        <v>3.5469888E7</v>
      </c>
      <c r="D117" s="9">
        <v>1.3816029E7</v>
      </c>
      <c r="E117" s="10" t="str">
        <f>IF(C117&gt;percent,"YES","NO")</f>
        <v>NO</v>
      </c>
      <c r="F117" s="19">
        <v>100000.0</v>
      </c>
      <c r="G117" s="12" t="str">
        <f t="shared" si="2"/>
        <v>NOT FUNDED</v>
      </c>
      <c r="H117" s="20">
        <f t="shared" si="3"/>
        <v>11166</v>
      </c>
      <c r="I117" s="14" t="str">
        <f t="shared" si="1"/>
        <v>Approval Threshold</v>
      </c>
    </row>
    <row r="118">
      <c r="A118" s="18" t="s">
        <v>693</v>
      </c>
      <c r="B118" s="22">
        <v>201.0</v>
      </c>
      <c r="C118" s="9">
        <v>3.4853669E7</v>
      </c>
      <c r="D118" s="9">
        <v>1.3782289E7</v>
      </c>
      <c r="E118" s="10" t="str">
        <f>IF(C118&gt;percent,"YES","NO")</f>
        <v>NO</v>
      </c>
      <c r="F118" s="19">
        <v>100000.0</v>
      </c>
      <c r="G118" s="12" t="str">
        <f t="shared" si="2"/>
        <v>NOT FUNDED</v>
      </c>
      <c r="H118" s="20">
        <f t="shared" si="3"/>
        <v>11166</v>
      </c>
      <c r="I118" s="14" t="str">
        <f t="shared" si="1"/>
        <v>Approval Threshold</v>
      </c>
    </row>
    <row r="119">
      <c r="A119" s="18" t="s">
        <v>694</v>
      </c>
      <c r="B119" s="22">
        <v>173.0</v>
      </c>
      <c r="C119" s="9">
        <v>3.4847706E7</v>
      </c>
      <c r="D119" s="9">
        <v>4260401.0</v>
      </c>
      <c r="E119" s="10" t="str">
        <f>IF(C119&gt;percent,"YES","NO")</f>
        <v>NO</v>
      </c>
      <c r="F119" s="19">
        <v>60000.0</v>
      </c>
      <c r="G119" s="12" t="str">
        <f t="shared" si="2"/>
        <v>NOT FUNDED</v>
      </c>
      <c r="H119" s="20">
        <f t="shared" si="3"/>
        <v>11166</v>
      </c>
      <c r="I119" s="14" t="str">
        <f t="shared" si="1"/>
        <v>Approval Threshold</v>
      </c>
    </row>
    <row r="120">
      <c r="A120" s="18" t="s">
        <v>695</v>
      </c>
      <c r="B120" s="22">
        <v>174.0</v>
      </c>
      <c r="C120" s="9">
        <v>3.4670485E7</v>
      </c>
      <c r="D120" s="9">
        <v>5665398.0</v>
      </c>
      <c r="E120" s="10" t="str">
        <f>IF(C120&gt;percent,"YES","NO")</f>
        <v>NO</v>
      </c>
      <c r="F120" s="19">
        <v>15000.0</v>
      </c>
      <c r="G120" s="12" t="str">
        <f t="shared" si="2"/>
        <v>NOT FUNDED</v>
      </c>
      <c r="H120" s="20">
        <f t="shared" si="3"/>
        <v>11166</v>
      </c>
      <c r="I120" s="14" t="str">
        <f t="shared" si="1"/>
        <v>Approval Threshold</v>
      </c>
    </row>
    <row r="121">
      <c r="A121" s="18" t="s">
        <v>696</v>
      </c>
      <c r="B121" s="22">
        <v>198.0</v>
      </c>
      <c r="C121" s="9">
        <v>3.4642319E7</v>
      </c>
      <c r="D121" s="9">
        <v>1.3846388E7</v>
      </c>
      <c r="E121" s="10" t="str">
        <f>IF(C121&gt;percent,"YES","NO")</f>
        <v>NO</v>
      </c>
      <c r="F121" s="19">
        <v>100000.0</v>
      </c>
      <c r="G121" s="12" t="str">
        <f t="shared" si="2"/>
        <v>NOT FUNDED</v>
      </c>
      <c r="H121" s="20">
        <f t="shared" si="3"/>
        <v>11166</v>
      </c>
      <c r="I121" s="14" t="str">
        <f t="shared" si="1"/>
        <v>Approval Threshold</v>
      </c>
    </row>
    <row r="122">
      <c r="A122" s="18" t="s">
        <v>697</v>
      </c>
      <c r="B122" s="22">
        <v>187.0</v>
      </c>
      <c r="C122" s="9">
        <v>3.4517894E7</v>
      </c>
      <c r="D122" s="9">
        <v>2.0555863E7</v>
      </c>
      <c r="E122" s="10" t="str">
        <f>IF(C122&gt;percent,"YES","NO")</f>
        <v>NO</v>
      </c>
      <c r="F122" s="19">
        <v>70000.0</v>
      </c>
      <c r="G122" s="12" t="str">
        <f t="shared" si="2"/>
        <v>NOT FUNDED</v>
      </c>
      <c r="H122" s="20">
        <f t="shared" si="3"/>
        <v>11166</v>
      </c>
      <c r="I122" s="14" t="str">
        <f t="shared" si="1"/>
        <v>Approval Threshold</v>
      </c>
    </row>
    <row r="123">
      <c r="A123" s="18" t="s">
        <v>698</v>
      </c>
      <c r="B123" s="22">
        <v>110.0</v>
      </c>
      <c r="C123" s="9">
        <v>3.4359092E7</v>
      </c>
      <c r="D123" s="9">
        <v>7249452.0</v>
      </c>
      <c r="E123" s="10" t="str">
        <f>IF(C123&gt;percent,"YES","NO")</f>
        <v>NO</v>
      </c>
      <c r="F123" s="19">
        <v>75000.0</v>
      </c>
      <c r="G123" s="12" t="str">
        <f t="shared" si="2"/>
        <v>NOT FUNDED</v>
      </c>
      <c r="H123" s="20">
        <f t="shared" si="3"/>
        <v>11166</v>
      </c>
      <c r="I123" s="14" t="str">
        <f t="shared" si="1"/>
        <v>Approval Threshold</v>
      </c>
    </row>
    <row r="124">
      <c r="A124" s="18" t="s">
        <v>699</v>
      </c>
      <c r="B124" s="22">
        <v>170.0</v>
      </c>
      <c r="C124" s="9">
        <v>3.4300538E7</v>
      </c>
      <c r="D124" s="9">
        <v>2.126487E7</v>
      </c>
      <c r="E124" s="10" t="str">
        <f>IF(C124&gt;percent,"YES","NO")</f>
        <v>NO</v>
      </c>
      <c r="F124" s="19">
        <v>98993.0</v>
      </c>
      <c r="G124" s="12" t="str">
        <f t="shared" si="2"/>
        <v>NOT FUNDED</v>
      </c>
      <c r="H124" s="20">
        <f t="shared" si="3"/>
        <v>11166</v>
      </c>
      <c r="I124" s="14" t="str">
        <f t="shared" si="1"/>
        <v>Approval Threshold</v>
      </c>
    </row>
    <row r="125">
      <c r="A125" s="18" t="s">
        <v>700</v>
      </c>
      <c r="B125" s="22">
        <v>143.0</v>
      </c>
      <c r="C125" s="9">
        <v>3.3829124E7</v>
      </c>
      <c r="D125" s="9">
        <v>4338866.0</v>
      </c>
      <c r="E125" s="10" t="str">
        <f>IF(C125&gt;percent,"YES","NO")</f>
        <v>NO</v>
      </c>
      <c r="F125" s="19">
        <v>65000.0</v>
      </c>
      <c r="G125" s="12" t="str">
        <f t="shared" si="2"/>
        <v>NOT FUNDED</v>
      </c>
      <c r="H125" s="20">
        <f t="shared" si="3"/>
        <v>11166</v>
      </c>
      <c r="I125" s="14" t="str">
        <f t="shared" si="1"/>
        <v>Approval Threshold</v>
      </c>
    </row>
    <row r="126">
      <c r="A126" s="18" t="s">
        <v>701</v>
      </c>
      <c r="B126" s="22">
        <v>112.0</v>
      </c>
      <c r="C126" s="9">
        <v>3.2418188E7</v>
      </c>
      <c r="D126" s="9">
        <v>6688105.0</v>
      </c>
      <c r="E126" s="10" t="str">
        <f>IF(C126&gt;percent,"YES","NO")</f>
        <v>NO</v>
      </c>
      <c r="F126" s="19">
        <v>85000.0</v>
      </c>
      <c r="G126" s="12" t="str">
        <f t="shared" si="2"/>
        <v>NOT FUNDED</v>
      </c>
      <c r="H126" s="20">
        <f t="shared" si="3"/>
        <v>11166</v>
      </c>
      <c r="I126" s="14" t="str">
        <f t="shared" si="1"/>
        <v>Approval Threshold</v>
      </c>
    </row>
    <row r="127">
      <c r="A127" s="18" t="s">
        <v>702</v>
      </c>
      <c r="B127" s="22">
        <v>138.0</v>
      </c>
      <c r="C127" s="9">
        <v>3.1638668E7</v>
      </c>
      <c r="D127" s="9">
        <v>9139944.0</v>
      </c>
      <c r="E127" s="10" t="str">
        <f>IF(C127&gt;percent,"YES","NO")</f>
        <v>NO</v>
      </c>
      <c r="F127" s="19">
        <v>100000.0</v>
      </c>
      <c r="G127" s="12" t="str">
        <f t="shared" si="2"/>
        <v>NOT FUNDED</v>
      </c>
      <c r="H127" s="20">
        <f t="shared" si="3"/>
        <v>11166</v>
      </c>
      <c r="I127" s="14" t="str">
        <f t="shared" si="1"/>
        <v>Approval Threshold</v>
      </c>
    </row>
    <row r="128">
      <c r="A128" s="18" t="s">
        <v>703</v>
      </c>
      <c r="B128" s="22">
        <v>92.0</v>
      </c>
      <c r="C128" s="9">
        <v>3.1417054E7</v>
      </c>
      <c r="D128" s="9">
        <v>7514949.0</v>
      </c>
      <c r="E128" s="10" t="str">
        <f>IF(C128&gt;percent,"YES","NO")</f>
        <v>NO</v>
      </c>
      <c r="F128" s="19">
        <v>85000.0</v>
      </c>
      <c r="G128" s="12" t="str">
        <f t="shared" si="2"/>
        <v>NOT FUNDED</v>
      </c>
      <c r="H128" s="20">
        <f t="shared" si="3"/>
        <v>11166</v>
      </c>
      <c r="I128" s="14" t="str">
        <f t="shared" si="1"/>
        <v>Approval Threshold</v>
      </c>
    </row>
    <row r="129">
      <c r="A129" s="18" t="s">
        <v>704</v>
      </c>
      <c r="B129" s="22">
        <v>122.0</v>
      </c>
      <c r="C129" s="9">
        <v>3.1404629E7</v>
      </c>
      <c r="D129" s="9">
        <v>8200464.0</v>
      </c>
      <c r="E129" s="10" t="str">
        <f>IF(C129&gt;percent,"YES","NO")</f>
        <v>NO</v>
      </c>
      <c r="F129" s="19">
        <v>53000.0</v>
      </c>
      <c r="G129" s="12" t="str">
        <f t="shared" si="2"/>
        <v>NOT FUNDED</v>
      </c>
      <c r="H129" s="20">
        <f t="shared" si="3"/>
        <v>11166</v>
      </c>
      <c r="I129" s="14" t="str">
        <f t="shared" si="1"/>
        <v>Approval Threshold</v>
      </c>
    </row>
    <row r="130">
      <c r="A130" s="18" t="s">
        <v>705</v>
      </c>
      <c r="B130" s="22">
        <v>125.0</v>
      </c>
      <c r="C130" s="9">
        <v>3.1077562E7</v>
      </c>
      <c r="D130" s="9">
        <v>1.0984238E7</v>
      </c>
      <c r="E130" s="10" t="str">
        <f>IF(C130&gt;percent,"YES","NO")</f>
        <v>NO</v>
      </c>
      <c r="F130" s="19">
        <v>98550.0</v>
      </c>
      <c r="G130" s="12" t="str">
        <f t="shared" si="2"/>
        <v>NOT FUNDED</v>
      </c>
      <c r="H130" s="20">
        <f t="shared" si="3"/>
        <v>11166</v>
      </c>
      <c r="I130" s="14" t="str">
        <f t="shared" si="1"/>
        <v>Approval Threshold</v>
      </c>
    </row>
    <row r="131">
      <c r="A131" s="18" t="s">
        <v>706</v>
      </c>
      <c r="B131" s="22">
        <v>232.0</v>
      </c>
      <c r="C131" s="9">
        <v>3.0280161E7</v>
      </c>
      <c r="D131" s="9">
        <v>6470380.0</v>
      </c>
      <c r="E131" s="10" t="str">
        <f>IF(C131&gt;percent,"YES","NO")</f>
        <v>NO</v>
      </c>
      <c r="F131" s="19">
        <v>92738.0</v>
      </c>
      <c r="G131" s="12" t="str">
        <f t="shared" si="2"/>
        <v>NOT FUNDED</v>
      </c>
      <c r="H131" s="20">
        <f t="shared" si="3"/>
        <v>11166</v>
      </c>
      <c r="I131" s="14" t="str">
        <f t="shared" si="1"/>
        <v>Approval Threshold</v>
      </c>
    </row>
    <row r="132">
      <c r="A132" s="18" t="s">
        <v>707</v>
      </c>
      <c r="B132" s="22">
        <v>111.0</v>
      </c>
      <c r="C132" s="9">
        <v>2.9791342E7</v>
      </c>
      <c r="D132" s="9">
        <v>7354650.0</v>
      </c>
      <c r="E132" s="10" t="str">
        <f>IF(C132&gt;percent,"YES","NO")</f>
        <v>NO</v>
      </c>
      <c r="F132" s="19">
        <v>99800.0</v>
      </c>
      <c r="G132" s="12" t="str">
        <f t="shared" si="2"/>
        <v>NOT FUNDED</v>
      </c>
      <c r="H132" s="20">
        <f t="shared" si="3"/>
        <v>11166</v>
      </c>
      <c r="I132" s="14" t="str">
        <f t="shared" si="1"/>
        <v>Approval Threshold</v>
      </c>
    </row>
    <row r="133">
      <c r="A133" s="18" t="s">
        <v>708</v>
      </c>
      <c r="B133" s="22">
        <v>167.0</v>
      </c>
      <c r="C133" s="9">
        <v>2.9666127E7</v>
      </c>
      <c r="D133" s="9">
        <v>2.1824116E7</v>
      </c>
      <c r="E133" s="10" t="str">
        <f>IF(C133&gt;percent,"YES","NO")</f>
        <v>NO</v>
      </c>
      <c r="F133" s="19">
        <v>82100.0</v>
      </c>
      <c r="G133" s="12" t="str">
        <f t="shared" si="2"/>
        <v>NOT FUNDED</v>
      </c>
      <c r="H133" s="20">
        <f t="shared" si="3"/>
        <v>11166</v>
      </c>
      <c r="I133" s="14" t="str">
        <f t="shared" si="1"/>
        <v>Approval Threshold</v>
      </c>
    </row>
    <row r="134">
      <c r="A134" s="18" t="s">
        <v>709</v>
      </c>
      <c r="B134" s="22">
        <v>143.0</v>
      </c>
      <c r="C134" s="9">
        <v>2.8147297E7</v>
      </c>
      <c r="D134" s="9">
        <v>2.3501508E7</v>
      </c>
      <c r="E134" s="10" t="str">
        <f>IF(C134&gt;percent,"YES","NO")</f>
        <v>NO</v>
      </c>
      <c r="F134" s="19">
        <v>75000.0</v>
      </c>
      <c r="G134" s="12" t="str">
        <f t="shared" si="2"/>
        <v>NOT FUNDED</v>
      </c>
      <c r="H134" s="20">
        <f t="shared" si="3"/>
        <v>11166</v>
      </c>
      <c r="I134" s="14" t="str">
        <f t="shared" si="1"/>
        <v>Approval Threshold</v>
      </c>
    </row>
    <row r="135">
      <c r="A135" s="18" t="s">
        <v>710</v>
      </c>
      <c r="B135" s="22">
        <v>126.0</v>
      </c>
      <c r="C135" s="9">
        <v>2.8120447E7</v>
      </c>
      <c r="D135" s="9">
        <v>9264043.0</v>
      </c>
      <c r="E135" s="10" t="str">
        <f>IF(C135&gt;percent,"YES","NO")</f>
        <v>NO</v>
      </c>
      <c r="F135" s="19">
        <v>50000.0</v>
      </c>
      <c r="G135" s="12" t="str">
        <f t="shared" si="2"/>
        <v>NOT FUNDED</v>
      </c>
      <c r="H135" s="20">
        <f t="shared" si="3"/>
        <v>11166</v>
      </c>
      <c r="I135" s="14" t="str">
        <f t="shared" si="1"/>
        <v>Approval Threshold</v>
      </c>
    </row>
    <row r="136">
      <c r="A136" s="18" t="s">
        <v>711</v>
      </c>
      <c r="B136" s="22">
        <v>186.0</v>
      </c>
      <c r="C136" s="9">
        <v>2.7813903E7</v>
      </c>
      <c r="D136" s="9">
        <v>1.8258083E7</v>
      </c>
      <c r="E136" s="10" t="str">
        <f>IF(C136&gt;percent,"YES","NO")</f>
        <v>NO</v>
      </c>
      <c r="F136" s="19">
        <v>100000.0</v>
      </c>
      <c r="G136" s="12" t="str">
        <f t="shared" si="2"/>
        <v>NOT FUNDED</v>
      </c>
      <c r="H136" s="20">
        <f t="shared" si="3"/>
        <v>11166</v>
      </c>
      <c r="I136" s="14" t="str">
        <f t="shared" si="1"/>
        <v>Approval Threshold</v>
      </c>
    </row>
    <row r="137">
      <c r="A137" s="18" t="s">
        <v>712</v>
      </c>
      <c r="B137" s="22">
        <v>116.0</v>
      </c>
      <c r="C137" s="9">
        <v>2.7340892E7</v>
      </c>
      <c r="D137" s="9">
        <v>6441421.0</v>
      </c>
      <c r="E137" s="10" t="str">
        <f>IF(C137&gt;percent,"YES","NO")</f>
        <v>NO</v>
      </c>
      <c r="F137" s="19">
        <v>99975.0</v>
      </c>
      <c r="G137" s="12" t="str">
        <f t="shared" si="2"/>
        <v>NOT FUNDED</v>
      </c>
      <c r="H137" s="20">
        <f t="shared" si="3"/>
        <v>11166</v>
      </c>
      <c r="I137" s="14" t="str">
        <f t="shared" si="1"/>
        <v>Approval Threshold</v>
      </c>
    </row>
    <row r="138">
      <c r="A138" s="18" t="s">
        <v>713</v>
      </c>
      <c r="B138" s="22">
        <v>149.0</v>
      </c>
      <c r="C138" s="9">
        <v>2.7041463E7</v>
      </c>
      <c r="D138" s="9">
        <v>6598978.0</v>
      </c>
      <c r="E138" s="10" t="str">
        <f>IF(C138&gt;percent,"YES","NO")</f>
        <v>NO</v>
      </c>
      <c r="F138" s="19">
        <v>50000.0</v>
      </c>
      <c r="G138" s="12" t="str">
        <f t="shared" si="2"/>
        <v>NOT FUNDED</v>
      </c>
      <c r="H138" s="20">
        <f t="shared" si="3"/>
        <v>11166</v>
      </c>
      <c r="I138" s="14" t="str">
        <f t="shared" si="1"/>
        <v>Approval Threshold</v>
      </c>
    </row>
    <row r="139">
      <c r="A139" s="18" t="s">
        <v>714</v>
      </c>
      <c r="B139" s="22">
        <v>178.0</v>
      </c>
      <c r="C139" s="9">
        <v>2.6883095E7</v>
      </c>
      <c r="D139" s="9">
        <v>2.8455075E7</v>
      </c>
      <c r="E139" s="10" t="str">
        <f>IF(C139&gt;percent,"YES","NO")</f>
        <v>NO</v>
      </c>
      <c r="F139" s="19">
        <v>100000.0</v>
      </c>
      <c r="G139" s="12" t="str">
        <f t="shared" si="2"/>
        <v>NOT FUNDED</v>
      </c>
      <c r="H139" s="20">
        <f t="shared" si="3"/>
        <v>11166</v>
      </c>
      <c r="I139" s="14" t="str">
        <f t="shared" si="1"/>
        <v>Approval Threshold</v>
      </c>
    </row>
    <row r="140">
      <c r="A140" s="18" t="s">
        <v>715</v>
      </c>
      <c r="B140" s="22">
        <v>124.0</v>
      </c>
      <c r="C140" s="9">
        <v>2.6703888E7</v>
      </c>
      <c r="D140" s="9">
        <v>2.6773088E7</v>
      </c>
      <c r="E140" s="10" t="str">
        <f>IF(C140&gt;percent,"YES","NO")</f>
        <v>NO</v>
      </c>
      <c r="F140" s="19">
        <v>100000.0</v>
      </c>
      <c r="G140" s="12" t="str">
        <f t="shared" si="2"/>
        <v>NOT FUNDED</v>
      </c>
      <c r="H140" s="20">
        <f t="shared" si="3"/>
        <v>11166</v>
      </c>
      <c r="I140" s="14" t="str">
        <f t="shared" si="1"/>
        <v>Approval Threshold</v>
      </c>
    </row>
    <row r="141">
      <c r="A141" s="18" t="s">
        <v>716</v>
      </c>
      <c r="B141" s="22">
        <v>149.0</v>
      </c>
      <c r="C141" s="9">
        <v>2.5781554E7</v>
      </c>
      <c r="D141" s="9">
        <v>1.0301043E7</v>
      </c>
      <c r="E141" s="10" t="str">
        <f>IF(C141&gt;percent,"YES","NO")</f>
        <v>NO</v>
      </c>
      <c r="F141" s="19">
        <v>100000.0</v>
      </c>
      <c r="G141" s="12" t="str">
        <f t="shared" si="2"/>
        <v>NOT FUNDED</v>
      </c>
      <c r="H141" s="20">
        <f t="shared" si="3"/>
        <v>11166</v>
      </c>
      <c r="I141" s="14" t="str">
        <f t="shared" si="1"/>
        <v>Approval Threshold</v>
      </c>
    </row>
    <row r="142">
      <c r="A142" s="18" t="s">
        <v>717</v>
      </c>
      <c r="B142" s="22">
        <v>117.0</v>
      </c>
      <c r="C142" s="9">
        <v>2.5446054E7</v>
      </c>
      <c r="D142" s="9">
        <v>5629893.0</v>
      </c>
      <c r="E142" s="10" t="str">
        <f>IF(C142&gt;percent,"YES","NO")</f>
        <v>NO</v>
      </c>
      <c r="F142" s="19">
        <v>30000.0</v>
      </c>
      <c r="G142" s="12" t="str">
        <f t="shared" si="2"/>
        <v>NOT FUNDED</v>
      </c>
      <c r="H142" s="20">
        <f t="shared" si="3"/>
        <v>11166</v>
      </c>
      <c r="I142" s="14" t="str">
        <f t="shared" si="1"/>
        <v>Approval Threshold</v>
      </c>
    </row>
    <row r="143">
      <c r="A143" s="18" t="s">
        <v>718</v>
      </c>
      <c r="B143" s="22">
        <v>150.0</v>
      </c>
      <c r="C143" s="9">
        <v>2.5093406E7</v>
      </c>
      <c r="D143" s="9">
        <v>1.3642629E7</v>
      </c>
      <c r="E143" s="10" t="str">
        <f>IF(C143&gt;percent,"YES","NO")</f>
        <v>NO</v>
      </c>
      <c r="F143" s="19">
        <v>100000.0</v>
      </c>
      <c r="G143" s="12" t="str">
        <f t="shared" si="2"/>
        <v>NOT FUNDED</v>
      </c>
      <c r="H143" s="20">
        <f t="shared" si="3"/>
        <v>11166</v>
      </c>
      <c r="I143" s="14" t="str">
        <f t="shared" si="1"/>
        <v>Approval Threshold</v>
      </c>
    </row>
    <row r="144">
      <c r="A144" s="18" t="s">
        <v>719</v>
      </c>
      <c r="B144" s="22">
        <v>149.0</v>
      </c>
      <c r="C144" s="9">
        <v>2.4981308E7</v>
      </c>
      <c r="D144" s="9">
        <v>9293337.0</v>
      </c>
      <c r="E144" s="10" t="str">
        <f>IF(C144&gt;percent,"YES","NO")</f>
        <v>NO</v>
      </c>
      <c r="F144" s="19">
        <v>90203.0</v>
      </c>
      <c r="G144" s="12" t="str">
        <f t="shared" si="2"/>
        <v>NOT FUNDED</v>
      </c>
      <c r="H144" s="20">
        <f t="shared" si="3"/>
        <v>11166</v>
      </c>
      <c r="I144" s="14" t="str">
        <f t="shared" si="1"/>
        <v>Approval Threshold</v>
      </c>
    </row>
    <row r="145">
      <c r="A145" s="18" t="s">
        <v>720</v>
      </c>
      <c r="B145" s="22">
        <v>121.0</v>
      </c>
      <c r="C145" s="9">
        <v>2.4951162E7</v>
      </c>
      <c r="D145" s="9">
        <v>7856565.0</v>
      </c>
      <c r="E145" s="10" t="str">
        <f>IF(C145&gt;percent,"YES","NO")</f>
        <v>NO</v>
      </c>
      <c r="F145" s="19">
        <v>88000.0</v>
      </c>
      <c r="G145" s="12" t="str">
        <f t="shared" si="2"/>
        <v>NOT FUNDED</v>
      </c>
      <c r="H145" s="20">
        <f t="shared" si="3"/>
        <v>11166</v>
      </c>
      <c r="I145" s="14" t="str">
        <f t="shared" si="1"/>
        <v>Approval Threshold</v>
      </c>
    </row>
    <row r="146">
      <c r="A146" s="18" t="s">
        <v>721</v>
      </c>
      <c r="B146" s="22">
        <v>156.0</v>
      </c>
      <c r="C146" s="9">
        <v>2.4303425E7</v>
      </c>
      <c r="D146" s="9">
        <v>6313811.0</v>
      </c>
      <c r="E146" s="10" t="str">
        <f>IF(C146&gt;percent,"YES","NO")</f>
        <v>NO</v>
      </c>
      <c r="F146" s="19">
        <v>89800.0</v>
      </c>
      <c r="G146" s="12" t="str">
        <f t="shared" si="2"/>
        <v>NOT FUNDED</v>
      </c>
      <c r="H146" s="20">
        <f t="shared" si="3"/>
        <v>11166</v>
      </c>
      <c r="I146" s="14" t="str">
        <f t="shared" si="1"/>
        <v>Approval Threshold</v>
      </c>
    </row>
    <row r="147">
      <c r="A147" s="18" t="s">
        <v>722</v>
      </c>
      <c r="B147" s="22">
        <v>117.0</v>
      </c>
      <c r="C147" s="9">
        <v>2.3878654E7</v>
      </c>
      <c r="D147" s="9">
        <v>4977190.0</v>
      </c>
      <c r="E147" s="10" t="str">
        <f>IF(C147&gt;percent,"YES","NO")</f>
        <v>NO</v>
      </c>
      <c r="F147" s="19">
        <v>95000.0</v>
      </c>
      <c r="G147" s="12" t="str">
        <f t="shared" si="2"/>
        <v>NOT FUNDED</v>
      </c>
      <c r="H147" s="20">
        <f t="shared" si="3"/>
        <v>11166</v>
      </c>
      <c r="I147" s="14" t="str">
        <f t="shared" si="1"/>
        <v>Approval Threshold</v>
      </c>
    </row>
    <row r="148">
      <c r="A148" s="18" t="s">
        <v>723</v>
      </c>
      <c r="B148" s="22">
        <v>141.0</v>
      </c>
      <c r="C148" s="9">
        <v>2.3601889E7</v>
      </c>
      <c r="D148" s="9">
        <v>6171200.0</v>
      </c>
      <c r="E148" s="10" t="str">
        <f>IF(C148&gt;percent,"YES","NO")</f>
        <v>NO</v>
      </c>
      <c r="F148" s="19">
        <v>30000.0</v>
      </c>
      <c r="G148" s="12" t="str">
        <f t="shared" si="2"/>
        <v>NOT FUNDED</v>
      </c>
      <c r="H148" s="20">
        <f t="shared" si="3"/>
        <v>11166</v>
      </c>
      <c r="I148" s="14" t="str">
        <f t="shared" si="1"/>
        <v>Approval Threshold</v>
      </c>
    </row>
    <row r="149">
      <c r="A149" s="18" t="s">
        <v>724</v>
      </c>
      <c r="B149" s="22">
        <v>120.0</v>
      </c>
      <c r="C149" s="9">
        <v>2.2936575E7</v>
      </c>
      <c r="D149" s="9">
        <v>8552931.0</v>
      </c>
      <c r="E149" s="10" t="str">
        <f>IF(C149&gt;percent,"YES","NO")</f>
        <v>NO</v>
      </c>
      <c r="F149" s="19">
        <v>25000.0</v>
      </c>
      <c r="G149" s="12" t="str">
        <f t="shared" si="2"/>
        <v>NOT FUNDED</v>
      </c>
      <c r="H149" s="20">
        <f t="shared" si="3"/>
        <v>11166</v>
      </c>
      <c r="I149" s="14" t="str">
        <f t="shared" si="1"/>
        <v>Approval Threshold</v>
      </c>
    </row>
    <row r="150">
      <c r="A150" s="18" t="s">
        <v>725</v>
      </c>
      <c r="B150" s="22">
        <v>170.0</v>
      </c>
      <c r="C150" s="9">
        <v>2.257607E7</v>
      </c>
      <c r="D150" s="9">
        <v>1.1169915E7</v>
      </c>
      <c r="E150" s="10" t="str">
        <f>IF(C150&gt;percent,"YES","NO")</f>
        <v>NO</v>
      </c>
      <c r="F150" s="19">
        <v>100000.0</v>
      </c>
      <c r="G150" s="12" t="str">
        <f t="shared" si="2"/>
        <v>NOT FUNDED</v>
      </c>
      <c r="H150" s="20">
        <f t="shared" si="3"/>
        <v>11166</v>
      </c>
      <c r="I150" s="14" t="str">
        <f t="shared" si="1"/>
        <v>Approval Threshold</v>
      </c>
    </row>
    <row r="151">
      <c r="A151" s="18" t="s">
        <v>726</v>
      </c>
      <c r="B151" s="22">
        <v>159.0</v>
      </c>
      <c r="C151" s="9">
        <v>2.2269193E7</v>
      </c>
      <c r="D151" s="9">
        <v>8130903.0</v>
      </c>
      <c r="E151" s="10" t="str">
        <f>IF(C151&gt;percent,"YES","NO")</f>
        <v>NO</v>
      </c>
      <c r="F151" s="19">
        <v>69260.0</v>
      </c>
      <c r="G151" s="12" t="str">
        <f t="shared" si="2"/>
        <v>NOT FUNDED</v>
      </c>
      <c r="H151" s="20">
        <f t="shared" si="3"/>
        <v>11166</v>
      </c>
      <c r="I151" s="14" t="str">
        <f t="shared" si="1"/>
        <v>Approval Threshold</v>
      </c>
    </row>
    <row r="152">
      <c r="A152" s="18" t="s">
        <v>727</v>
      </c>
      <c r="B152" s="22">
        <v>174.0</v>
      </c>
      <c r="C152" s="9">
        <v>2.2204293E7</v>
      </c>
      <c r="D152" s="9">
        <v>2.4032097E7</v>
      </c>
      <c r="E152" s="10" t="str">
        <f>IF(C152&gt;percent,"YES","NO")</f>
        <v>NO</v>
      </c>
      <c r="F152" s="19">
        <v>50000.0</v>
      </c>
      <c r="G152" s="12" t="str">
        <f t="shared" si="2"/>
        <v>NOT FUNDED</v>
      </c>
      <c r="H152" s="20">
        <f t="shared" si="3"/>
        <v>11166</v>
      </c>
      <c r="I152" s="14" t="str">
        <f t="shared" si="1"/>
        <v>Approval Threshold</v>
      </c>
    </row>
    <row r="153">
      <c r="A153" s="18" t="s">
        <v>728</v>
      </c>
      <c r="B153" s="22">
        <v>125.0</v>
      </c>
      <c r="C153" s="9">
        <v>2.1880091E7</v>
      </c>
      <c r="D153" s="9">
        <v>1.2799189E7</v>
      </c>
      <c r="E153" s="10" t="str">
        <f>IF(C153&gt;percent,"YES","NO")</f>
        <v>NO</v>
      </c>
      <c r="F153" s="19">
        <v>100000.0</v>
      </c>
      <c r="G153" s="12" t="str">
        <f t="shared" si="2"/>
        <v>NOT FUNDED</v>
      </c>
      <c r="H153" s="20">
        <f t="shared" si="3"/>
        <v>11166</v>
      </c>
      <c r="I153" s="14" t="str">
        <f t="shared" si="1"/>
        <v>Approval Threshold</v>
      </c>
    </row>
    <row r="154">
      <c r="A154" s="18" t="s">
        <v>729</v>
      </c>
      <c r="B154" s="22">
        <v>163.0</v>
      </c>
      <c r="C154" s="9">
        <v>2.1719896E7</v>
      </c>
      <c r="D154" s="9">
        <v>6976705.0</v>
      </c>
      <c r="E154" s="10" t="str">
        <f>IF(C154&gt;percent,"YES","NO")</f>
        <v>NO</v>
      </c>
      <c r="F154" s="19">
        <v>100000.0</v>
      </c>
      <c r="G154" s="12" t="str">
        <f t="shared" si="2"/>
        <v>NOT FUNDED</v>
      </c>
      <c r="H154" s="20">
        <f t="shared" si="3"/>
        <v>11166</v>
      </c>
      <c r="I154" s="14" t="str">
        <f t="shared" si="1"/>
        <v>Approval Threshold</v>
      </c>
    </row>
    <row r="155">
      <c r="A155" s="18" t="s">
        <v>730</v>
      </c>
      <c r="B155" s="22">
        <v>109.0</v>
      </c>
      <c r="C155" s="9">
        <v>2.1687131E7</v>
      </c>
      <c r="D155" s="9">
        <v>7996071.0</v>
      </c>
      <c r="E155" s="10" t="str">
        <f>IF(C155&gt;percent,"YES","NO")</f>
        <v>NO</v>
      </c>
      <c r="F155" s="19">
        <v>68000.0</v>
      </c>
      <c r="G155" s="12" t="str">
        <f t="shared" si="2"/>
        <v>NOT FUNDED</v>
      </c>
      <c r="H155" s="20">
        <f t="shared" si="3"/>
        <v>11166</v>
      </c>
      <c r="I155" s="14" t="str">
        <f t="shared" si="1"/>
        <v>Approval Threshold</v>
      </c>
    </row>
    <row r="156">
      <c r="A156" s="18" t="s">
        <v>731</v>
      </c>
      <c r="B156" s="22">
        <v>136.0</v>
      </c>
      <c r="C156" s="9">
        <v>2.1277694E7</v>
      </c>
      <c r="D156" s="9">
        <v>6137419.0</v>
      </c>
      <c r="E156" s="10" t="str">
        <f>IF(C156&gt;percent,"YES","NO")</f>
        <v>NO</v>
      </c>
      <c r="F156" s="19">
        <v>81187.0</v>
      </c>
      <c r="G156" s="12" t="str">
        <f t="shared" si="2"/>
        <v>NOT FUNDED</v>
      </c>
      <c r="H156" s="20">
        <f t="shared" si="3"/>
        <v>11166</v>
      </c>
      <c r="I156" s="14" t="str">
        <f t="shared" si="1"/>
        <v>Approval Threshold</v>
      </c>
    </row>
    <row r="157">
      <c r="A157" s="18" t="s">
        <v>732</v>
      </c>
      <c r="B157" s="22">
        <v>128.0</v>
      </c>
      <c r="C157" s="9">
        <v>2.11523E7</v>
      </c>
      <c r="D157" s="9">
        <v>2.3118398E7</v>
      </c>
      <c r="E157" s="10" t="str">
        <f>IF(C157&gt;percent,"YES","NO")</f>
        <v>NO</v>
      </c>
      <c r="F157" s="19">
        <v>100000.0</v>
      </c>
      <c r="G157" s="12" t="str">
        <f t="shared" si="2"/>
        <v>NOT FUNDED</v>
      </c>
      <c r="H157" s="20">
        <f t="shared" si="3"/>
        <v>11166</v>
      </c>
      <c r="I157" s="14" t="str">
        <f t="shared" si="1"/>
        <v>Approval Threshold</v>
      </c>
    </row>
    <row r="158">
      <c r="A158" s="18" t="s">
        <v>733</v>
      </c>
      <c r="B158" s="22">
        <v>188.0</v>
      </c>
      <c r="C158" s="9">
        <v>2.1113409E7</v>
      </c>
      <c r="D158" s="9">
        <v>9778992.0</v>
      </c>
      <c r="E158" s="10" t="str">
        <f>IF(C158&gt;percent,"YES","NO")</f>
        <v>NO</v>
      </c>
      <c r="F158" s="19">
        <v>93560.0</v>
      </c>
      <c r="G158" s="12" t="str">
        <f t="shared" si="2"/>
        <v>NOT FUNDED</v>
      </c>
      <c r="H158" s="20">
        <f t="shared" si="3"/>
        <v>11166</v>
      </c>
      <c r="I158" s="14" t="str">
        <f t="shared" si="1"/>
        <v>Approval Threshold</v>
      </c>
    </row>
    <row r="159">
      <c r="A159" s="18" t="s">
        <v>734</v>
      </c>
      <c r="B159" s="22">
        <v>138.0</v>
      </c>
      <c r="C159" s="9">
        <v>1.9861251E7</v>
      </c>
      <c r="D159" s="9">
        <v>1.2139261E7</v>
      </c>
      <c r="E159" s="10" t="str">
        <f>IF(C159&gt;percent,"YES","NO")</f>
        <v>NO</v>
      </c>
      <c r="F159" s="19">
        <v>100000.0</v>
      </c>
      <c r="G159" s="12" t="str">
        <f t="shared" si="2"/>
        <v>NOT FUNDED</v>
      </c>
      <c r="H159" s="20">
        <f t="shared" si="3"/>
        <v>11166</v>
      </c>
      <c r="I159" s="14" t="str">
        <f t="shared" si="1"/>
        <v>Approval Threshold</v>
      </c>
    </row>
    <row r="160">
      <c r="A160" s="18" t="s">
        <v>735</v>
      </c>
      <c r="B160" s="22">
        <v>215.0</v>
      </c>
      <c r="C160" s="9">
        <v>1.955965E7</v>
      </c>
      <c r="D160" s="9">
        <v>1.0193791E7</v>
      </c>
      <c r="E160" s="10" t="str">
        <f>IF(C160&gt;percent,"YES","NO")</f>
        <v>NO</v>
      </c>
      <c r="F160" s="19">
        <v>100000.0</v>
      </c>
      <c r="G160" s="12" t="str">
        <f t="shared" si="2"/>
        <v>NOT FUNDED</v>
      </c>
      <c r="H160" s="20">
        <f t="shared" si="3"/>
        <v>11166</v>
      </c>
      <c r="I160" s="14" t="str">
        <f t="shared" si="1"/>
        <v>Approval Threshold</v>
      </c>
    </row>
    <row r="161">
      <c r="A161" s="18" t="s">
        <v>736</v>
      </c>
      <c r="B161" s="22">
        <v>130.0</v>
      </c>
      <c r="C161" s="9">
        <v>1.9401708E7</v>
      </c>
      <c r="D161" s="9">
        <v>1.1246711E7</v>
      </c>
      <c r="E161" s="10" t="str">
        <f>IF(C161&gt;percent,"YES","NO")</f>
        <v>NO</v>
      </c>
      <c r="F161" s="19">
        <v>100000.0</v>
      </c>
      <c r="G161" s="12" t="str">
        <f t="shared" si="2"/>
        <v>NOT FUNDED</v>
      </c>
      <c r="H161" s="20">
        <f t="shared" si="3"/>
        <v>11166</v>
      </c>
      <c r="I161" s="14" t="str">
        <f t="shared" si="1"/>
        <v>Approval Threshold</v>
      </c>
    </row>
    <row r="162">
      <c r="A162" s="18" t="s">
        <v>737</v>
      </c>
      <c r="B162" s="22">
        <v>93.0</v>
      </c>
      <c r="C162" s="9">
        <v>1.8995205E7</v>
      </c>
      <c r="D162" s="9">
        <v>6596434.0</v>
      </c>
      <c r="E162" s="10" t="str">
        <f>IF(C162&gt;percent,"YES","NO")</f>
        <v>NO</v>
      </c>
      <c r="F162" s="19">
        <v>42000.0</v>
      </c>
      <c r="G162" s="12" t="str">
        <f t="shared" si="2"/>
        <v>NOT FUNDED</v>
      </c>
      <c r="H162" s="20">
        <f t="shared" si="3"/>
        <v>11166</v>
      </c>
      <c r="I162" s="14" t="str">
        <f t="shared" si="1"/>
        <v>Approval Threshold</v>
      </c>
    </row>
    <row r="163">
      <c r="A163" s="18" t="s">
        <v>738</v>
      </c>
      <c r="B163" s="22">
        <v>128.0</v>
      </c>
      <c r="C163" s="9">
        <v>1.8434939E7</v>
      </c>
      <c r="D163" s="9">
        <v>7343651.0</v>
      </c>
      <c r="E163" s="10" t="str">
        <f>IF(C163&gt;percent,"YES","NO")</f>
        <v>NO</v>
      </c>
      <c r="F163" s="19">
        <v>90000.0</v>
      </c>
      <c r="G163" s="12" t="str">
        <f t="shared" si="2"/>
        <v>NOT FUNDED</v>
      </c>
      <c r="H163" s="20">
        <f t="shared" si="3"/>
        <v>11166</v>
      </c>
      <c r="I163" s="14" t="str">
        <f t="shared" si="1"/>
        <v>Approval Threshold</v>
      </c>
    </row>
    <row r="164">
      <c r="A164" s="18" t="s">
        <v>739</v>
      </c>
      <c r="B164" s="22">
        <v>294.0</v>
      </c>
      <c r="C164" s="9">
        <v>1.8405494E7</v>
      </c>
      <c r="D164" s="9">
        <v>1.0790308E7</v>
      </c>
      <c r="E164" s="10" t="str">
        <f>IF(C164&gt;percent,"YES","NO")</f>
        <v>NO</v>
      </c>
      <c r="F164" s="19">
        <v>84600.0</v>
      </c>
      <c r="G164" s="12" t="str">
        <f t="shared" si="2"/>
        <v>NOT FUNDED</v>
      </c>
      <c r="H164" s="20">
        <f t="shared" si="3"/>
        <v>11166</v>
      </c>
      <c r="I164" s="14" t="str">
        <f t="shared" si="1"/>
        <v>Approval Threshold</v>
      </c>
    </row>
    <row r="165">
      <c r="A165" s="18" t="s">
        <v>740</v>
      </c>
      <c r="B165" s="22">
        <v>195.0</v>
      </c>
      <c r="C165" s="9">
        <v>1.8371653E7</v>
      </c>
      <c r="D165" s="9">
        <v>5403140.0</v>
      </c>
      <c r="E165" s="10" t="str">
        <f>IF(C165&gt;percent,"YES","NO")</f>
        <v>NO</v>
      </c>
      <c r="F165" s="19">
        <v>92000.0</v>
      </c>
      <c r="G165" s="12" t="str">
        <f t="shared" si="2"/>
        <v>NOT FUNDED</v>
      </c>
      <c r="H165" s="20">
        <f t="shared" si="3"/>
        <v>11166</v>
      </c>
      <c r="I165" s="14" t="str">
        <f t="shared" si="1"/>
        <v>Approval Threshold</v>
      </c>
    </row>
    <row r="166">
      <c r="A166" s="18" t="s">
        <v>741</v>
      </c>
      <c r="B166" s="22">
        <v>133.0</v>
      </c>
      <c r="C166" s="9">
        <v>1.8337448E7</v>
      </c>
      <c r="D166" s="9">
        <v>1.2560583E7</v>
      </c>
      <c r="E166" s="10" t="str">
        <f>IF(C166&gt;percent,"YES","NO")</f>
        <v>NO</v>
      </c>
      <c r="F166" s="19">
        <v>100000.0</v>
      </c>
      <c r="G166" s="12" t="str">
        <f t="shared" si="2"/>
        <v>NOT FUNDED</v>
      </c>
      <c r="H166" s="20">
        <f t="shared" si="3"/>
        <v>11166</v>
      </c>
      <c r="I166" s="14" t="str">
        <f t="shared" si="1"/>
        <v>Approval Threshold</v>
      </c>
    </row>
    <row r="167">
      <c r="A167" s="18" t="s">
        <v>742</v>
      </c>
      <c r="B167" s="22">
        <v>100.0</v>
      </c>
      <c r="C167" s="9">
        <v>1.830081E7</v>
      </c>
      <c r="D167" s="9">
        <v>6229241.0</v>
      </c>
      <c r="E167" s="10" t="str">
        <f>IF(C167&gt;percent,"YES","NO")</f>
        <v>NO</v>
      </c>
      <c r="F167" s="19">
        <v>85000.0</v>
      </c>
      <c r="G167" s="12" t="str">
        <f t="shared" si="2"/>
        <v>NOT FUNDED</v>
      </c>
      <c r="H167" s="20">
        <f t="shared" si="3"/>
        <v>11166</v>
      </c>
      <c r="I167" s="14" t="str">
        <f t="shared" si="1"/>
        <v>Approval Threshold</v>
      </c>
    </row>
    <row r="168">
      <c r="A168" s="18" t="s">
        <v>743</v>
      </c>
      <c r="B168" s="22">
        <v>136.0</v>
      </c>
      <c r="C168" s="9">
        <v>1.8242777E7</v>
      </c>
      <c r="D168" s="9">
        <v>6105973.0</v>
      </c>
      <c r="E168" s="10" t="str">
        <f>IF(C168&gt;percent,"YES","NO")</f>
        <v>NO</v>
      </c>
      <c r="F168" s="19">
        <v>86319.0</v>
      </c>
      <c r="G168" s="12" t="str">
        <f t="shared" si="2"/>
        <v>NOT FUNDED</v>
      </c>
      <c r="H168" s="20">
        <f t="shared" si="3"/>
        <v>11166</v>
      </c>
      <c r="I168" s="14" t="str">
        <f t="shared" si="1"/>
        <v>Approval Threshold</v>
      </c>
    </row>
    <row r="169">
      <c r="A169" s="18" t="s">
        <v>744</v>
      </c>
      <c r="B169" s="22">
        <v>114.0</v>
      </c>
      <c r="C169" s="9">
        <v>1.8202941E7</v>
      </c>
      <c r="D169" s="9">
        <v>8540398.0</v>
      </c>
      <c r="E169" s="10" t="str">
        <f>IF(C169&gt;percent,"YES","NO")</f>
        <v>NO</v>
      </c>
      <c r="F169" s="19">
        <v>100000.0</v>
      </c>
      <c r="G169" s="12" t="str">
        <f t="shared" si="2"/>
        <v>NOT FUNDED</v>
      </c>
      <c r="H169" s="20">
        <f t="shared" si="3"/>
        <v>11166</v>
      </c>
      <c r="I169" s="14" t="str">
        <f t="shared" si="1"/>
        <v>Approval Threshold</v>
      </c>
    </row>
    <row r="170">
      <c r="A170" s="18" t="s">
        <v>745</v>
      </c>
      <c r="B170" s="22">
        <v>129.0</v>
      </c>
      <c r="C170" s="9">
        <v>1.8048026E7</v>
      </c>
      <c r="D170" s="9">
        <v>8479108.0</v>
      </c>
      <c r="E170" s="10" t="str">
        <f>IF(C170&gt;percent,"YES","NO")</f>
        <v>NO</v>
      </c>
      <c r="F170" s="19">
        <v>72000.0</v>
      </c>
      <c r="G170" s="12" t="str">
        <f t="shared" si="2"/>
        <v>NOT FUNDED</v>
      </c>
      <c r="H170" s="20">
        <f t="shared" si="3"/>
        <v>11166</v>
      </c>
      <c r="I170" s="14" t="str">
        <f t="shared" si="1"/>
        <v>Approval Threshold</v>
      </c>
    </row>
    <row r="171">
      <c r="A171" s="18" t="s">
        <v>746</v>
      </c>
      <c r="B171" s="22">
        <v>129.0</v>
      </c>
      <c r="C171" s="9">
        <v>1.7994802E7</v>
      </c>
      <c r="D171" s="9">
        <v>1.2772105E7</v>
      </c>
      <c r="E171" s="10" t="str">
        <f>IF(C171&gt;percent,"YES","NO")</f>
        <v>NO</v>
      </c>
      <c r="F171" s="19">
        <v>100000.0</v>
      </c>
      <c r="G171" s="12" t="str">
        <f t="shared" si="2"/>
        <v>NOT FUNDED</v>
      </c>
      <c r="H171" s="20">
        <f t="shared" si="3"/>
        <v>11166</v>
      </c>
      <c r="I171" s="14" t="str">
        <f t="shared" si="1"/>
        <v>Approval Threshold</v>
      </c>
    </row>
    <row r="172">
      <c r="A172" s="18" t="s">
        <v>747</v>
      </c>
      <c r="B172" s="22">
        <v>133.0</v>
      </c>
      <c r="C172" s="9">
        <v>1.7896285E7</v>
      </c>
      <c r="D172" s="9">
        <v>1.5533753E7</v>
      </c>
      <c r="E172" s="10" t="str">
        <f>IF(C172&gt;percent,"YES","NO")</f>
        <v>NO</v>
      </c>
      <c r="F172" s="19">
        <v>99850.0</v>
      </c>
      <c r="G172" s="12" t="str">
        <f t="shared" si="2"/>
        <v>NOT FUNDED</v>
      </c>
      <c r="H172" s="20">
        <f t="shared" si="3"/>
        <v>11166</v>
      </c>
      <c r="I172" s="14" t="str">
        <f t="shared" si="1"/>
        <v>Approval Threshold</v>
      </c>
    </row>
    <row r="173">
      <c r="A173" s="18" t="s">
        <v>748</v>
      </c>
      <c r="B173" s="22">
        <v>141.0</v>
      </c>
      <c r="C173" s="9">
        <v>1.7810804E7</v>
      </c>
      <c r="D173" s="9">
        <v>1.1361458E7</v>
      </c>
      <c r="E173" s="10" t="str">
        <f>IF(C173&gt;percent,"YES","NO")</f>
        <v>NO</v>
      </c>
      <c r="F173" s="19">
        <v>100000.0</v>
      </c>
      <c r="G173" s="12" t="str">
        <f t="shared" si="2"/>
        <v>NOT FUNDED</v>
      </c>
      <c r="H173" s="20">
        <f t="shared" si="3"/>
        <v>11166</v>
      </c>
      <c r="I173" s="14" t="str">
        <f t="shared" si="1"/>
        <v>Approval Threshold</v>
      </c>
    </row>
    <row r="174">
      <c r="A174" s="18" t="s">
        <v>749</v>
      </c>
      <c r="B174" s="22">
        <v>143.0</v>
      </c>
      <c r="C174" s="9">
        <v>1.7796518E7</v>
      </c>
      <c r="D174" s="9">
        <v>3.1720454E7</v>
      </c>
      <c r="E174" s="10" t="str">
        <f>IF(C174&gt;percent,"YES","NO")</f>
        <v>NO</v>
      </c>
      <c r="F174" s="19">
        <v>50000.0</v>
      </c>
      <c r="G174" s="12" t="str">
        <f t="shared" si="2"/>
        <v>NOT FUNDED</v>
      </c>
      <c r="H174" s="20">
        <f t="shared" si="3"/>
        <v>11166</v>
      </c>
      <c r="I174" s="14" t="str">
        <f t="shared" si="1"/>
        <v>Approval Threshold</v>
      </c>
    </row>
    <row r="175">
      <c r="A175" s="18" t="s">
        <v>750</v>
      </c>
      <c r="B175" s="22">
        <v>137.0</v>
      </c>
      <c r="C175" s="9">
        <v>1.7718481E7</v>
      </c>
      <c r="D175" s="9">
        <v>8403103.0</v>
      </c>
      <c r="E175" s="10" t="str">
        <f>IF(C175&gt;percent,"YES","NO")</f>
        <v>NO</v>
      </c>
      <c r="F175" s="19">
        <v>100000.0</v>
      </c>
      <c r="G175" s="12" t="str">
        <f t="shared" si="2"/>
        <v>NOT FUNDED</v>
      </c>
      <c r="H175" s="20">
        <f t="shared" si="3"/>
        <v>11166</v>
      </c>
      <c r="I175" s="14" t="str">
        <f t="shared" si="1"/>
        <v>Approval Threshold</v>
      </c>
    </row>
    <row r="176">
      <c r="A176" s="18" t="s">
        <v>751</v>
      </c>
      <c r="B176" s="22">
        <v>133.0</v>
      </c>
      <c r="C176" s="9">
        <v>1.7707795E7</v>
      </c>
      <c r="D176" s="9">
        <v>7457764.0</v>
      </c>
      <c r="E176" s="10" t="str">
        <f>IF(C176&gt;percent,"YES","NO")</f>
        <v>NO</v>
      </c>
      <c r="F176" s="19">
        <v>75000.0</v>
      </c>
      <c r="G176" s="12" t="str">
        <f t="shared" si="2"/>
        <v>NOT FUNDED</v>
      </c>
      <c r="H176" s="20">
        <f t="shared" si="3"/>
        <v>11166</v>
      </c>
      <c r="I176" s="14" t="str">
        <f t="shared" si="1"/>
        <v>Approval Threshold</v>
      </c>
    </row>
    <row r="177">
      <c r="A177" s="18" t="s">
        <v>752</v>
      </c>
      <c r="B177" s="22">
        <v>122.0</v>
      </c>
      <c r="C177" s="9">
        <v>1.7598313E7</v>
      </c>
      <c r="D177" s="9">
        <v>6741716.0</v>
      </c>
      <c r="E177" s="10" t="str">
        <f>IF(C177&gt;percent,"YES","NO")</f>
        <v>NO</v>
      </c>
      <c r="F177" s="19">
        <v>40000.0</v>
      </c>
      <c r="G177" s="12" t="str">
        <f t="shared" si="2"/>
        <v>NOT FUNDED</v>
      </c>
      <c r="H177" s="20">
        <f t="shared" si="3"/>
        <v>11166</v>
      </c>
      <c r="I177" s="14" t="str">
        <f t="shared" si="1"/>
        <v>Approval Threshold</v>
      </c>
    </row>
    <row r="178">
      <c r="A178" s="18" t="s">
        <v>753</v>
      </c>
      <c r="B178" s="22">
        <v>106.0</v>
      </c>
      <c r="C178" s="9">
        <v>1.7579809E7</v>
      </c>
      <c r="D178" s="9">
        <v>8660244.0</v>
      </c>
      <c r="E178" s="10" t="str">
        <f>IF(C178&gt;percent,"YES","NO")</f>
        <v>NO</v>
      </c>
      <c r="F178" s="19">
        <v>42000.0</v>
      </c>
      <c r="G178" s="12" t="str">
        <f t="shared" si="2"/>
        <v>NOT FUNDED</v>
      </c>
      <c r="H178" s="20">
        <f t="shared" si="3"/>
        <v>11166</v>
      </c>
      <c r="I178" s="14" t="str">
        <f t="shared" si="1"/>
        <v>Approval Threshold</v>
      </c>
    </row>
    <row r="179">
      <c r="A179" s="18" t="s">
        <v>754</v>
      </c>
      <c r="B179" s="22">
        <v>97.0</v>
      </c>
      <c r="C179" s="9">
        <v>1.7512188E7</v>
      </c>
      <c r="D179" s="9">
        <v>1.2682103E7</v>
      </c>
      <c r="E179" s="10" t="str">
        <f>IF(C179&gt;percent,"YES","NO")</f>
        <v>NO</v>
      </c>
      <c r="F179" s="19">
        <v>100000.0</v>
      </c>
      <c r="G179" s="12" t="str">
        <f t="shared" si="2"/>
        <v>NOT FUNDED</v>
      </c>
      <c r="H179" s="20">
        <f t="shared" si="3"/>
        <v>11166</v>
      </c>
      <c r="I179" s="14" t="str">
        <f t="shared" si="1"/>
        <v>Approval Threshold</v>
      </c>
    </row>
    <row r="180">
      <c r="A180" s="18" t="s">
        <v>755</v>
      </c>
      <c r="B180" s="22">
        <v>135.0</v>
      </c>
      <c r="C180" s="9">
        <v>1.74503E7</v>
      </c>
      <c r="D180" s="9">
        <v>9825010.0</v>
      </c>
      <c r="E180" s="10" t="str">
        <f>IF(C180&gt;percent,"YES","NO")</f>
        <v>NO</v>
      </c>
      <c r="F180" s="19">
        <v>100000.0</v>
      </c>
      <c r="G180" s="12" t="str">
        <f t="shared" si="2"/>
        <v>NOT FUNDED</v>
      </c>
      <c r="H180" s="20">
        <f t="shared" si="3"/>
        <v>11166</v>
      </c>
      <c r="I180" s="14" t="str">
        <f t="shared" si="1"/>
        <v>Approval Threshold</v>
      </c>
    </row>
    <row r="181">
      <c r="A181" s="18" t="s">
        <v>756</v>
      </c>
      <c r="B181" s="22">
        <v>105.0</v>
      </c>
      <c r="C181" s="9">
        <v>1.7171402E7</v>
      </c>
      <c r="D181" s="9">
        <v>1.3307767E7</v>
      </c>
      <c r="E181" s="10" t="str">
        <f>IF(C181&gt;percent,"YES","NO")</f>
        <v>NO</v>
      </c>
      <c r="F181" s="19">
        <v>100000.0</v>
      </c>
      <c r="G181" s="12" t="str">
        <f t="shared" si="2"/>
        <v>NOT FUNDED</v>
      </c>
      <c r="H181" s="20">
        <f t="shared" si="3"/>
        <v>11166</v>
      </c>
      <c r="I181" s="14" t="str">
        <f t="shared" si="1"/>
        <v>Approval Threshold</v>
      </c>
    </row>
    <row r="182">
      <c r="A182" s="18" t="s">
        <v>757</v>
      </c>
      <c r="B182" s="22">
        <v>108.0</v>
      </c>
      <c r="C182" s="9">
        <v>1.7077671E7</v>
      </c>
      <c r="D182" s="9">
        <v>2.3424499E7</v>
      </c>
      <c r="E182" s="10" t="str">
        <f>IF(C182&gt;percent,"YES","NO")</f>
        <v>NO</v>
      </c>
      <c r="F182" s="19">
        <v>93000.0</v>
      </c>
      <c r="G182" s="12" t="str">
        <f t="shared" si="2"/>
        <v>NOT FUNDED</v>
      </c>
      <c r="H182" s="20">
        <f t="shared" si="3"/>
        <v>11166</v>
      </c>
      <c r="I182" s="14" t="str">
        <f t="shared" si="1"/>
        <v>Approval Threshold</v>
      </c>
    </row>
    <row r="183">
      <c r="A183" s="18" t="s">
        <v>758</v>
      </c>
      <c r="B183" s="22">
        <v>111.0</v>
      </c>
      <c r="C183" s="9">
        <v>1.6975218E7</v>
      </c>
      <c r="D183" s="9">
        <v>7339307.0</v>
      </c>
      <c r="E183" s="10" t="str">
        <f>IF(C183&gt;percent,"YES","NO")</f>
        <v>NO</v>
      </c>
      <c r="F183" s="19">
        <v>36500.0</v>
      </c>
      <c r="G183" s="12" t="str">
        <f t="shared" si="2"/>
        <v>NOT FUNDED</v>
      </c>
      <c r="H183" s="20">
        <f t="shared" si="3"/>
        <v>11166</v>
      </c>
      <c r="I183" s="14" t="str">
        <f t="shared" si="1"/>
        <v>Approval Threshold</v>
      </c>
    </row>
    <row r="184">
      <c r="A184" s="18" t="s">
        <v>759</v>
      </c>
      <c r="B184" s="22">
        <v>134.0</v>
      </c>
      <c r="C184" s="9">
        <v>1.6863163E7</v>
      </c>
      <c r="D184" s="9">
        <v>9159737.0</v>
      </c>
      <c r="E184" s="10" t="str">
        <f>IF(C184&gt;percent,"YES","NO")</f>
        <v>NO</v>
      </c>
      <c r="F184" s="19">
        <v>90000.0</v>
      </c>
      <c r="G184" s="12" t="str">
        <f t="shared" si="2"/>
        <v>NOT FUNDED</v>
      </c>
      <c r="H184" s="20">
        <f t="shared" si="3"/>
        <v>11166</v>
      </c>
      <c r="I184" s="14" t="str">
        <f t="shared" si="1"/>
        <v>Approval Threshold</v>
      </c>
    </row>
    <row r="185">
      <c r="A185" s="18" t="s">
        <v>760</v>
      </c>
      <c r="B185" s="22">
        <v>120.0</v>
      </c>
      <c r="C185" s="9">
        <v>1.6755256E7</v>
      </c>
      <c r="D185" s="9">
        <v>1.3309059E7</v>
      </c>
      <c r="E185" s="10" t="str">
        <f>IF(C185&gt;percent,"YES","NO")</f>
        <v>NO</v>
      </c>
      <c r="F185" s="19">
        <v>100000.0</v>
      </c>
      <c r="G185" s="12" t="str">
        <f t="shared" si="2"/>
        <v>NOT FUNDED</v>
      </c>
      <c r="H185" s="20">
        <f t="shared" si="3"/>
        <v>11166</v>
      </c>
      <c r="I185" s="14" t="str">
        <f t="shared" si="1"/>
        <v>Approval Threshold</v>
      </c>
    </row>
    <row r="186">
      <c r="A186" s="18" t="s">
        <v>761</v>
      </c>
      <c r="B186" s="22">
        <v>130.0</v>
      </c>
      <c r="C186" s="9">
        <v>1.6657407E7</v>
      </c>
      <c r="D186" s="9">
        <v>1.0227979E7</v>
      </c>
      <c r="E186" s="10" t="str">
        <f>IF(C186&gt;percent,"YES","NO")</f>
        <v>NO</v>
      </c>
      <c r="F186" s="19">
        <v>100000.0</v>
      </c>
      <c r="G186" s="12" t="str">
        <f t="shared" si="2"/>
        <v>NOT FUNDED</v>
      </c>
      <c r="H186" s="20">
        <f t="shared" si="3"/>
        <v>11166</v>
      </c>
      <c r="I186" s="14" t="str">
        <f t="shared" si="1"/>
        <v>Approval Threshold</v>
      </c>
    </row>
    <row r="187">
      <c r="A187" s="18" t="s">
        <v>762</v>
      </c>
      <c r="B187" s="22">
        <v>103.0</v>
      </c>
      <c r="C187" s="9">
        <v>1.6595478E7</v>
      </c>
      <c r="D187" s="9">
        <v>1.2375362E7</v>
      </c>
      <c r="E187" s="10" t="str">
        <f>IF(C187&gt;percent,"YES","NO")</f>
        <v>NO</v>
      </c>
      <c r="F187" s="19">
        <v>100000.0</v>
      </c>
      <c r="G187" s="12" t="str">
        <f t="shared" si="2"/>
        <v>NOT FUNDED</v>
      </c>
      <c r="H187" s="20">
        <f t="shared" si="3"/>
        <v>11166</v>
      </c>
      <c r="I187" s="14" t="str">
        <f t="shared" si="1"/>
        <v>Approval Threshold</v>
      </c>
    </row>
    <row r="188">
      <c r="A188" s="18" t="s">
        <v>763</v>
      </c>
      <c r="B188" s="22">
        <v>106.0</v>
      </c>
      <c r="C188" s="9">
        <v>1.6563444E7</v>
      </c>
      <c r="D188" s="9">
        <v>1.1589703E7</v>
      </c>
      <c r="E188" s="10" t="str">
        <f>IF(C188&gt;percent,"YES","NO")</f>
        <v>NO</v>
      </c>
      <c r="F188" s="19">
        <v>100000.0</v>
      </c>
      <c r="G188" s="12" t="str">
        <f t="shared" si="2"/>
        <v>NOT FUNDED</v>
      </c>
      <c r="H188" s="20">
        <f t="shared" si="3"/>
        <v>11166</v>
      </c>
      <c r="I188" s="14" t="str">
        <f t="shared" si="1"/>
        <v>Approval Threshold</v>
      </c>
    </row>
    <row r="189">
      <c r="A189" s="18" t="s">
        <v>764</v>
      </c>
      <c r="B189" s="22">
        <v>133.0</v>
      </c>
      <c r="C189" s="9">
        <v>1.6326191E7</v>
      </c>
      <c r="D189" s="9">
        <v>9777319.0</v>
      </c>
      <c r="E189" s="10" t="str">
        <f>IF(C189&gt;percent,"YES","NO")</f>
        <v>NO</v>
      </c>
      <c r="F189" s="19">
        <v>100000.0</v>
      </c>
      <c r="G189" s="12" t="str">
        <f t="shared" si="2"/>
        <v>NOT FUNDED</v>
      </c>
      <c r="H189" s="20">
        <f t="shared" si="3"/>
        <v>11166</v>
      </c>
      <c r="I189" s="14" t="str">
        <f t="shared" si="1"/>
        <v>Approval Threshold</v>
      </c>
    </row>
    <row r="190">
      <c r="A190" s="18" t="s">
        <v>765</v>
      </c>
      <c r="B190" s="22">
        <v>103.0</v>
      </c>
      <c r="C190" s="9">
        <v>1.6217428E7</v>
      </c>
      <c r="D190" s="9">
        <v>7868533.0</v>
      </c>
      <c r="E190" s="10" t="str">
        <f>IF(C190&gt;percent,"YES","NO")</f>
        <v>NO</v>
      </c>
      <c r="F190" s="19">
        <v>60000.0</v>
      </c>
      <c r="G190" s="12" t="str">
        <f t="shared" si="2"/>
        <v>NOT FUNDED</v>
      </c>
      <c r="H190" s="20">
        <f t="shared" si="3"/>
        <v>11166</v>
      </c>
      <c r="I190" s="14" t="str">
        <f t="shared" si="1"/>
        <v>Approval Threshold</v>
      </c>
    </row>
    <row r="191">
      <c r="A191" s="18" t="s">
        <v>766</v>
      </c>
      <c r="B191" s="22">
        <v>120.0</v>
      </c>
      <c r="C191" s="9">
        <v>1.6214205E7</v>
      </c>
      <c r="D191" s="9">
        <v>8635968.0</v>
      </c>
      <c r="E191" s="10" t="str">
        <f>IF(C191&gt;percent,"YES","NO")</f>
        <v>NO</v>
      </c>
      <c r="F191" s="19">
        <v>75000.0</v>
      </c>
      <c r="G191" s="12" t="str">
        <f t="shared" si="2"/>
        <v>NOT FUNDED</v>
      </c>
      <c r="H191" s="20">
        <f t="shared" si="3"/>
        <v>11166</v>
      </c>
      <c r="I191" s="14" t="str">
        <f t="shared" si="1"/>
        <v>Approval Threshold</v>
      </c>
    </row>
    <row r="192">
      <c r="A192" s="18" t="s">
        <v>767</v>
      </c>
      <c r="B192" s="22">
        <v>100.0</v>
      </c>
      <c r="C192" s="9">
        <v>1.6171039E7</v>
      </c>
      <c r="D192" s="9">
        <v>6361016.0</v>
      </c>
      <c r="E192" s="10" t="str">
        <f>IF(C192&gt;percent,"YES","NO")</f>
        <v>NO</v>
      </c>
      <c r="F192" s="19">
        <v>96000.0</v>
      </c>
      <c r="G192" s="12" t="str">
        <f t="shared" si="2"/>
        <v>NOT FUNDED</v>
      </c>
      <c r="H192" s="20">
        <f t="shared" si="3"/>
        <v>11166</v>
      </c>
      <c r="I192" s="14" t="str">
        <f t="shared" si="1"/>
        <v>Approval Threshold</v>
      </c>
    </row>
    <row r="193">
      <c r="A193" s="18" t="s">
        <v>768</v>
      </c>
      <c r="B193" s="22">
        <v>135.0</v>
      </c>
      <c r="C193" s="9">
        <v>1.6137763E7</v>
      </c>
      <c r="D193" s="9">
        <v>8185104.0</v>
      </c>
      <c r="E193" s="10" t="str">
        <f>IF(C193&gt;percent,"YES","NO")</f>
        <v>NO</v>
      </c>
      <c r="F193" s="19">
        <v>25000.0</v>
      </c>
      <c r="G193" s="12" t="str">
        <f t="shared" si="2"/>
        <v>NOT FUNDED</v>
      </c>
      <c r="H193" s="20">
        <f t="shared" si="3"/>
        <v>11166</v>
      </c>
      <c r="I193" s="14" t="str">
        <f t="shared" si="1"/>
        <v>Approval Threshold</v>
      </c>
    </row>
    <row r="194">
      <c r="A194" s="18" t="s">
        <v>769</v>
      </c>
      <c r="B194" s="22">
        <v>159.0</v>
      </c>
      <c r="C194" s="9">
        <v>1.5861514E7</v>
      </c>
      <c r="D194" s="9">
        <v>6054324.0</v>
      </c>
      <c r="E194" s="10" t="str">
        <f>IF(C194&gt;percent,"YES","NO")</f>
        <v>NO</v>
      </c>
      <c r="F194" s="19">
        <v>95000.0</v>
      </c>
      <c r="G194" s="12" t="str">
        <f t="shared" si="2"/>
        <v>NOT FUNDED</v>
      </c>
      <c r="H194" s="20">
        <f t="shared" si="3"/>
        <v>11166</v>
      </c>
      <c r="I194" s="14" t="str">
        <f t="shared" si="1"/>
        <v>Approval Threshold</v>
      </c>
    </row>
    <row r="195">
      <c r="A195" s="18" t="s">
        <v>770</v>
      </c>
      <c r="B195" s="22">
        <v>111.0</v>
      </c>
      <c r="C195" s="9">
        <v>1.5272619E7</v>
      </c>
      <c r="D195" s="9">
        <v>2.253546E7</v>
      </c>
      <c r="E195" s="10" t="str">
        <f>IF(C195&gt;percent,"YES","NO")</f>
        <v>NO</v>
      </c>
      <c r="F195" s="19">
        <v>50000.0</v>
      </c>
      <c r="G195" s="12" t="str">
        <f t="shared" si="2"/>
        <v>NOT FUNDED</v>
      </c>
      <c r="H195" s="20">
        <f t="shared" si="3"/>
        <v>11166</v>
      </c>
      <c r="I195" s="14" t="str">
        <f t="shared" si="1"/>
        <v>Approval Threshold</v>
      </c>
    </row>
    <row r="196">
      <c r="A196" s="18" t="s">
        <v>771</v>
      </c>
      <c r="B196" s="22">
        <v>142.0</v>
      </c>
      <c r="C196" s="9">
        <v>1.4459404E7</v>
      </c>
      <c r="D196" s="9">
        <v>8301933.0</v>
      </c>
      <c r="E196" s="10" t="str">
        <f>IF(C196&gt;percent,"YES","NO")</f>
        <v>NO</v>
      </c>
      <c r="F196" s="19">
        <v>83664.0</v>
      </c>
      <c r="G196" s="12" t="str">
        <f t="shared" si="2"/>
        <v>NOT FUNDED</v>
      </c>
      <c r="H196" s="20">
        <f t="shared" si="3"/>
        <v>11166</v>
      </c>
      <c r="I196" s="14" t="str">
        <f t="shared" si="1"/>
        <v>Approval Threshold</v>
      </c>
    </row>
    <row r="197">
      <c r="A197" s="18" t="s">
        <v>772</v>
      </c>
      <c r="B197" s="22">
        <v>102.0</v>
      </c>
      <c r="C197" s="9">
        <v>1.4324924E7</v>
      </c>
      <c r="D197" s="9">
        <v>7084387.0</v>
      </c>
      <c r="E197" s="10" t="str">
        <f>IF(C197&gt;percent,"YES","NO")</f>
        <v>NO</v>
      </c>
      <c r="F197" s="19">
        <v>85000.0</v>
      </c>
      <c r="G197" s="12" t="str">
        <f t="shared" si="2"/>
        <v>NOT FUNDED</v>
      </c>
      <c r="H197" s="20">
        <f t="shared" si="3"/>
        <v>11166</v>
      </c>
      <c r="I197" s="14" t="str">
        <f t="shared" si="1"/>
        <v>Approval Threshold</v>
      </c>
    </row>
    <row r="198">
      <c r="A198" s="18" t="s">
        <v>773</v>
      </c>
      <c r="B198" s="22">
        <v>138.0</v>
      </c>
      <c r="C198" s="9">
        <v>1.418357E7</v>
      </c>
      <c r="D198" s="9">
        <v>7771848.0</v>
      </c>
      <c r="E198" s="10" t="str">
        <f>IF(C198&gt;percent,"YES","NO")</f>
        <v>NO</v>
      </c>
      <c r="F198" s="19">
        <v>21500.0</v>
      </c>
      <c r="G198" s="12" t="str">
        <f t="shared" si="2"/>
        <v>NOT FUNDED</v>
      </c>
      <c r="H198" s="20">
        <f t="shared" si="3"/>
        <v>11166</v>
      </c>
      <c r="I198" s="14" t="str">
        <f t="shared" si="1"/>
        <v>Approval Threshold</v>
      </c>
    </row>
    <row r="199">
      <c r="A199" s="18" t="s">
        <v>774</v>
      </c>
      <c r="B199" s="22">
        <v>97.0</v>
      </c>
      <c r="C199" s="9">
        <v>1.4135254E7</v>
      </c>
      <c r="D199" s="9">
        <v>4861281.0</v>
      </c>
      <c r="E199" s="10" t="str">
        <f>IF(C199&gt;percent,"YES","NO")</f>
        <v>NO</v>
      </c>
      <c r="F199" s="19">
        <v>30000.0</v>
      </c>
      <c r="G199" s="12" t="str">
        <f t="shared" si="2"/>
        <v>NOT FUNDED</v>
      </c>
      <c r="H199" s="20">
        <f t="shared" si="3"/>
        <v>11166</v>
      </c>
      <c r="I199" s="14" t="str">
        <f t="shared" si="1"/>
        <v>Approval Threshold</v>
      </c>
    </row>
    <row r="200">
      <c r="A200" s="18" t="s">
        <v>775</v>
      </c>
      <c r="B200" s="22">
        <v>113.0</v>
      </c>
      <c r="C200" s="9">
        <v>1.3980392E7</v>
      </c>
      <c r="D200" s="9">
        <v>7136977.0</v>
      </c>
      <c r="E200" s="10" t="str">
        <f>IF(C200&gt;percent,"YES","NO")</f>
        <v>NO</v>
      </c>
      <c r="F200" s="19">
        <v>47000.0</v>
      </c>
      <c r="G200" s="12" t="str">
        <f t="shared" si="2"/>
        <v>NOT FUNDED</v>
      </c>
      <c r="H200" s="20">
        <f t="shared" si="3"/>
        <v>11166</v>
      </c>
      <c r="I200" s="14" t="str">
        <f t="shared" si="1"/>
        <v>Approval Threshold</v>
      </c>
    </row>
    <row r="201">
      <c r="A201" s="18" t="s">
        <v>776</v>
      </c>
      <c r="B201" s="22">
        <v>120.0</v>
      </c>
      <c r="C201" s="9">
        <v>1.3669823E7</v>
      </c>
      <c r="D201" s="9">
        <v>7572163.0</v>
      </c>
      <c r="E201" s="10" t="str">
        <f>IF(C201&gt;percent,"YES","NO")</f>
        <v>NO</v>
      </c>
      <c r="F201" s="19">
        <v>35000.0</v>
      </c>
      <c r="G201" s="12" t="str">
        <f t="shared" si="2"/>
        <v>NOT FUNDED</v>
      </c>
      <c r="H201" s="20">
        <f t="shared" si="3"/>
        <v>11166</v>
      </c>
      <c r="I201" s="14" t="str">
        <f t="shared" si="1"/>
        <v>Approval Threshold</v>
      </c>
    </row>
    <row r="202">
      <c r="A202" s="18" t="s">
        <v>777</v>
      </c>
      <c r="B202" s="22">
        <v>118.0</v>
      </c>
      <c r="C202" s="9">
        <v>1.3613622E7</v>
      </c>
      <c r="D202" s="9">
        <v>8633437.0</v>
      </c>
      <c r="E202" s="10" t="str">
        <f>IF(C202&gt;percent,"YES","NO")</f>
        <v>NO</v>
      </c>
      <c r="F202" s="19">
        <v>45000.0</v>
      </c>
      <c r="G202" s="12" t="str">
        <f t="shared" si="2"/>
        <v>NOT FUNDED</v>
      </c>
      <c r="H202" s="20">
        <f t="shared" si="3"/>
        <v>11166</v>
      </c>
      <c r="I202" s="14" t="str">
        <f t="shared" si="1"/>
        <v>Approval Threshold</v>
      </c>
    </row>
    <row r="203">
      <c r="A203" s="18" t="s">
        <v>778</v>
      </c>
      <c r="B203" s="22">
        <v>116.0</v>
      </c>
      <c r="C203" s="9">
        <v>1.3488838E7</v>
      </c>
      <c r="D203" s="9">
        <v>5355080.0</v>
      </c>
      <c r="E203" s="10" t="str">
        <f>IF(C203&gt;percent,"YES","NO")</f>
        <v>NO</v>
      </c>
      <c r="F203" s="19">
        <v>81000.0</v>
      </c>
      <c r="G203" s="12" t="str">
        <f t="shared" si="2"/>
        <v>NOT FUNDED</v>
      </c>
      <c r="H203" s="20">
        <f t="shared" si="3"/>
        <v>11166</v>
      </c>
      <c r="I203" s="14" t="str">
        <f t="shared" si="1"/>
        <v>Approval Threshold</v>
      </c>
    </row>
    <row r="204">
      <c r="A204" s="18" t="s">
        <v>779</v>
      </c>
      <c r="B204" s="22">
        <v>111.0</v>
      </c>
      <c r="C204" s="9">
        <v>1.3479757E7</v>
      </c>
      <c r="D204" s="9">
        <v>7737998.0</v>
      </c>
      <c r="E204" s="10" t="str">
        <f>IF(C204&gt;percent,"YES","NO")</f>
        <v>NO</v>
      </c>
      <c r="F204" s="19">
        <v>54000.0</v>
      </c>
      <c r="G204" s="12" t="str">
        <f t="shared" si="2"/>
        <v>NOT FUNDED</v>
      </c>
      <c r="H204" s="20">
        <f t="shared" si="3"/>
        <v>11166</v>
      </c>
      <c r="I204" s="14" t="str">
        <f t="shared" si="1"/>
        <v>Approval Threshold</v>
      </c>
    </row>
    <row r="205">
      <c r="A205" s="18" t="s">
        <v>780</v>
      </c>
      <c r="B205" s="22">
        <v>116.0</v>
      </c>
      <c r="C205" s="9">
        <v>1.3415122E7</v>
      </c>
      <c r="D205" s="9">
        <v>6435205.0</v>
      </c>
      <c r="E205" s="10" t="str">
        <f>IF(C205&gt;percent,"YES","NO")</f>
        <v>NO</v>
      </c>
      <c r="F205" s="19">
        <v>30000.0</v>
      </c>
      <c r="G205" s="12" t="str">
        <f t="shared" si="2"/>
        <v>NOT FUNDED</v>
      </c>
      <c r="H205" s="20">
        <f t="shared" si="3"/>
        <v>11166</v>
      </c>
      <c r="I205" s="14" t="str">
        <f t="shared" si="1"/>
        <v>Approval Threshold</v>
      </c>
    </row>
    <row r="206">
      <c r="A206" s="18" t="s">
        <v>781</v>
      </c>
      <c r="B206" s="22">
        <v>122.0</v>
      </c>
      <c r="C206" s="9">
        <v>1.3137477E7</v>
      </c>
      <c r="D206" s="9">
        <v>1.1003286E7</v>
      </c>
      <c r="E206" s="10" t="str">
        <f>IF(C206&gt;percent,"YES","NO")</f>
        <v>NO</v>
      </c>
      <c r="F206" s="19">
        <v>100000.0</v>
      </c>
      <c r="G206" s="12" t="str">
        <f t="shared" si="2"/>
        <v>NOT FUNDED</v>
      </c>
      <c r="H206" s="20">
        <f t="shared" si="3"/>
        <v>11166</v>
      </c>
      <c r="I206" s="14" t="str">
        <f t="shared" si="1"/>
        <v>Approval Threshold</v>
      </c>
    </row>
    <row r="207">
      <c r="A207" s="18" t="s">
        <v>782</v>
      </c>
      <c r="B207" s="22">
        <v>133.0</v>
      </c>
      <c r="C207" s="9">
        <v>1.3104238E7</v>
      </c>
      <c r="D207" s="9">
        <v>1.1206832E7</v>
      </c>
      <c r="E207" s="10" t="str">
        <f>IF(C207&gt;percent,"YES","NO")</f>
        <v>NO</v>
      </c>
      <c r="F207" s="19">
        <v>100000.0</v>
      </c>
      <c r="G207" s="12" t="str">
        <f t="shared" si="2"/>
        <v>NOT FUNDED</v>
      </c>
      <c r="H207" s="20">
        <f t="shared" si="3"/>
        <v>11166</v>
      </c>
      <c r="I207" s="14" t="str">
        <f t="shared" si="1"/>
        <v>Approval Threshold</v>
      </c>
    </row>
    <row r="208">
      <c r="A208" s="18" t="s">
        <v>783</v>
      </c>
      <c r="B208" s="22">
        <v>145.0</v>
      </c>
      <c r="C208" s="9">
        <v>1.2963849E7</v>
      </c>
      <c r="D208" s="9">
        <v>1.3087464E7</v>
      </c>
      <c r="E208" s="10" t="str">
        <f>IF(C208&gt;percent,"YES","NO")</f>
        <v>NO</v>
      </c>
      <c r="F208" s="19">
        <v>100000.0</v>
      </c>
      <c r="G208" s="12" t="str">
        <f t="shared" si="2"/>
        <v>NOT FUNDED</v>
      </c>
      <c r="H208" s="20">
        <f t="shared" si="3"/>
        <v>11166</v>
      </c>
      <c r="I208" s="14" t="str">
        <f t="shared" si="1"/>
        <v>Approval Threshold</v>
      </c>
    </row>
    <row r="209">
      <c r="A209" s="18" t="s">
        <v>784</v>
      </c>
      <c r="B209" s="22">
        <v>113.0</v>
      </c>
      <c r="C209" s="9">
        <v>1.2803776E7</v>
      </c>
      <c r="D209" s="9">
        <v>6438149.0</v>
      </c>
      <c r="E209" s="10" t="str">
        <f>IF(C209&gt;percent,"YES","NO")</f>
        <v>NO</v>
      </c>
      <c r="F209" s="19">
        <v>70000.0</v>
      </c>
      <c r="G209" s="12" t="str">
        <f t="shared" si="2"/>
        <v>NOT FUNDED</v>
      </c>
      <c r="H209" s="20">
        <f t="shared" si="3"/>
        <v>11166</v>
      </c>
      <c r="I209" s="14" t="str">
        <f t="shared" si="1"/>
        <v>Approval Threshold</v>
      </c>
    </row>
    <row r="210">
      <c r="A210" s="18" t="s">
        <v>785</v>
      </c>
      <c r="B210" s="22">
        <v>107.0</v>
      </c>
      <c r="C210" s="9">
        <v>1.2594627E7</v>
      </c>
      <c r="D210" s="9">
        <v>7452191.0</v>
      </c>
      <c r="E210" s="10" t="str">
        <f>IF(C210&gt;percent,"YES","NO")</f>
        <v>NO</v>
      </c>
      <c r="F210" s="19">
        <v>78000.0</v>
      </c>
      <c r="G210" s="12" t="str">
        <f t="shared" si="2"/>
        <v>NOT FUNDED</v>
      </c>
      <c r="H210" s="20">
        <f t="shared" si="3"/>
        <v>11166</v>
      </c>
      <c r="I210" s="14" t="str">
        <f t="shared" si="1"/>
        <v>Approval Threshold</v>
      </c>
    </row>
    <row r="211">
      <c r="A211" s="18" t="s">
        <v>786</v>
      </c>
      <c r="B211" s="22">
        <v>94.0</v>
      </c>
      <c r="C211" s="9">
        <v>1.2394638E7</v>
      </c>
      <c r="D211" s="9">
        <v>6149532.0</v>
      </c>
      <c r="E211" s="10" t="str">
        <f>IF(C211&gt;percent,"YES","NO")</f>
        <v>NO</v>
      </c>
      <c r="F211" s="19">
        <v>48000.0</v>
      </c>
      <c r="G211" s="12" t="str">
        <f t="shared" si="2"/>
        <v>NOT FUNDED</v>
      </c>
      <c r="H211" s="20">
        <f t="shared" si="3"/>
        <v>11166</v>
      </c>
      <c r="I211" s="14" t="str">
        <f t="shared" si="1"/>
        <v>Approval Threshold</v>
      </c>
    </row>
    <row r="212">
      <c r="A212" s="18" t="s">
        <v>787</v>
      </c>
      <c r="B212" s="22">
        <v>129.0</v>
      </c>
      <c r="C212" s="9">
        <v>1.2319671E7</v>
      </c>
      <c r="D212" s="9">
        <v>2.3858789E7</v>
      </c>
      <c r="E212" s="10" t="str">
        <f>IF(C212&gt;percent,"YES","NO")</f>
        <v>NO</v>
      </c>
      <c r="F212" s="19">
        <v>75000.0</v>
      </c>
      <c r="G212" s="12" t="str">
        <f t="shared" si="2"/>
        <v>NOT FUNDED</v>
      </c>
      <c r="H212" s="20">
        <f t="shared" si="3"/>
        <v>11166</v>
      </c>
      <c r="I212" s="14" t="str">
        <f t="shared" si="1"/>
        <v>Approval Threshold</v>
      </c>
    </row>
    <row r="213">
      <c r="A213" s="18" t="s">
        <v>788</v>
      </c>
      <c r="B213" s="22">
        <v>118.0</v>
      </c>
      <c r="C213" s="9">
        <v>1.2152199E7</v>
      </c>
      <c r="D213" s="9">
        <v>1.0314089E7</v>
      </c>
      <c r="E213" s="10" t="str">
        <f>IF(C213&gt;percent,"YES","NO")</f>
        <v>NO</v>
      </c>
      <c r="F213" s="19">
        <v>100000.0</v>
      </c>
      <c r="G213" s="12" t="str">
        <f t="shared" si="2"/>
        <v>NOT FUNDED</v>
      </c>
      <c r="H213" s="20">
        <f t="shared" si="3"/>
        <v>11166</v>
      </c>
      <c r="I213" s="14" t="str">
        <f t="shared" si="1"/>
        <v>Approval Threshold</v>
      </c>
    </row>
    <row r="214">
      <c r="A214" s="18" t="s">
        <v>789</v>
      </c>
      <c r="B214" s="22">
        <v>115.0</v>
      </c>
      <c r="C214" s="9">
        <v>1.1987047E7</v>
      </c>
      <c r="D214" s="9">
        <v>1.1965991E7</v>
      </c>
      <c r="E214" s="10" t="str">
        <f>IF(C214&gt;percent,"YES","NO")</f>
        <v>NO</v>
      </c>
      <c r="F214" s="19">
        <v>100000.0</v>
      </c>
      <c r="G214" s="12" t="str">
        <f t="shared" si="2"/>
        <v>NOT FUNDED</v>
      </c>
      <c r="H214" s="20">
        <f t="shared" si="3"/>
        <v>11166</v>
      </c>
      <c r="I214" s="14" t="str">
        <f t="shared" si="1"/>
        <v>Approval Threshold</v>
      </c>
    </row>
    <row r="215">
      <c r="A215" s="18" t="s">
        <v>790</v>
      </c>
      <c r="B215" s="22">
        <v>120.0</v>
      </c>
      <c r="C215" s="9">
        <v>1.1835716E7</v>
      </c>
      <c r="D215" s="9">
        <v>2.1428216E7</v>
      </c>
      <c r="E215" s="10" t="str">
        <f>IF(C215&gt;percent,"YES","NO")</f>
        <v>NO</v>
      </c>
      <c r="F215" s="19">
        <v>95000.0</v>
      </c>
      <c r="G215" s="12" t="str">
        <f t="shared" si="2"/>
        <v>NOT FUNDED</v>
      </c>
      <c r="H215" s="20">
        <f t="shared" si="3"/>
        <v>11166</v>
      </c>
      <c r="I215" s="14" t="str">
        <f t="shared" si="1"/>
        <v>Approval Threshold</v>
      </c>
    </row>
    <row r="216">
      <c r="A216" s="18" t="s">
        <v>791</v>
      </c>
      <c r="B216" s="22">
        <v>124.0</v>
      </c>
      <c r="C216" s="9">
        <v>1.1742027E7</v>
      </c>
      <c r="D216" s="9">
        <v>1.1275803E7</v>
      </c>
      <c r="E216" s="10" t="str">
        <f>IF(C216&gt;percent,"YES","NO")</f>
        <v>NO</v>
      </c>
      <c r="F216" s="19">
        <v>100000.0</v>
      </c>
      <c r="G216" s="12" t="str">
        <f t="shared" si="2"/>
        <v>NOT FUNDED</v>
      </c>
      <c r="H216" s="20">
        <f t="shared" si="3"/>
        <v>11166</v>
      </c>
      <c r="I216" s="14" t="str">
        <f t="shared" si="1"/>
        <v>Approval Threshold</v>
      </c>
    </row>
    <row r="217">
      <c r="A217" s="18" t="s">
        <v>792</v>
      </c>
      <c r="B217" s="22">
        <v>126.0</v>
      </c>
      <c r="C217" s="9">
        <v>1.1568336E7</v>
      </c>
      <c r="D217" s="9">
        <v>1.0241034E7</v>
      </c>
      <c r="E217" s="10" t="str">
        <f>IF(C217&gt;percent,"YES","NO")</f>
        <v>NO</v>
      </c>
      <c r="F217" s="19">
        <v>100000.0</v>
      </c>
      <c r="G217" s="12" t="str">
        <f t="shared" si="2"/>
        <v>NOT FUNDED</v>
      </c>
      <c r="H217" s="20">
        <f t="shared" si="3"/>
        <v>11166</v>
      </c>
      <c r="I217" s="14" t="str">
        <f t="shared" si="1"/>
        <v>Approval Threshold</v>
      </c>
    </row>
    <row r="218">
      <c r="A218" s="18" t="s">
        <v>793</v>
      </c>
      <c r="B218" s="22">
        <v>115.0</v>
      </c>
      <c r="C218" s="9">
        <v>1.1499283E7</v>
      </c>
      <c r="D218" s="9">
        <v>5329407.0</v>
      </c>
      <c r="E218" s="10" t="str">
        <f>IF(C218&gt;percent,"YES","NO")</f>
        <v>NO</v>
      </c>
      <c r="F218" s="19">
        <v>60000.0</v>
      </c>
      <c r="G218" s="12" t="str">
        <f t="shared" si="2"/>
        <v>NOT FUNDED</v>
      </c>
      <c r="H218" s="20">
        <f t="shared" si="3"/>
        <v>11166</v>
      </c>
      <c r="I218" s="14" t="str">
        <f t="shared" si="1"/>
        <v>Approval Threshold</v>
      </c>
    </row>
    <row r="219">
      <c r="A219" s="18" t="s">
        <v>794</v>
      </c>
      <c r="B219" s="22">
        <v>100.0</v>
      </c>
      <c r="C219" s="9">
        <v>1.1491773E7</v>
      </c>
      <c r="D219" s="9">
        <v>8135697.0</v>
      </c>
      <c r="E219" s="10" t="str">
        <f>IF(C219&gt;percent,"YES","NO")</f>
        <v>NO</v>
      </c>
      <c r="F219" s="19">
        <v>80000.0</v>
      </c>
      <c r="G219" s="12" t="str">
        <f t="shared" si="2"/>
        <v>NOT FUNDED</v>
      </c>
      <c r="H219" s="20">
        <f t="shared" si="3"/>
        <v>11166</v>
      </c>
      <c r="I219" s="14" t="str">
        <f t="shared" si="1"/>
        <v>Approval Threshold</v>
      </c>
    </row>
    <row r="220">
      <c r="A220" s="18" t="s">
        <v>795</v>
      </c>
      <c r="B220" s="22">
        <v>99.0</v>
      </c>
      <c r="C220" s="9">
        <v>1.1454645E7</v>
      </c>
      <c r="D220" s="9">
        <v>6963004.0</v>
      </c>
      <c r="E220" s="10" t="str">
        <f>IF(C220&gt;percent,"YES","NO")</f>
        <v>NO</v>
      </c>
      <c r="F220" s="19">
        <v>75000.0</v>
      </c>
      <c r="G220" s="12" t="str">
        <f t="shared" si="2"/>
        <v>NOT FUNDED</v>
      </c>
      <c r="H220" s="20">
        <f t="shared" si="3"/>
        <v>11166</v>
      </c>
      <c r="I220" s="14" t="str">
        <f t="shared" si="1"/>
        <v>Approval Threshold</v>
      </c>
    </row>
    <row r="221">
      <c r="A221" s="18" t="s">
        <v>796</v>
      </c>
      <c r="B221" s="22">
        <v>102.0</v>
      </c>
      <c r="C221" s="9">
        <v>1.1394683E7</v>
      </c>
      <c r="D221" s="9">
        <v>7103304.0</v>
      </c>
      <c r="E221" s="10" t="str">
        <f>IF(C221&gt;percent,"YES","NO")</f>
        <v>NO</v>
      </c>
      <c r="F221" s="19">
        <v>51000.0</v>
      </c>
      <c r="G221" s="12" t="str">
        <f t="shared" si="2"/>
        <v>NOT FUNDED</v>
      </c>
      <c r="H221" s="20">
        <f t="shared" si="3"/>
        <v>11166</v>
      </c>
      <c r="I221" s="14" t="str">
        <f t="shared" si="1"/>
        <v>Approval Threshold</v>
      </c>
    </row>
    <row r="222">
      <c r="A222" s="18" t="s">
        <v>797</v>
      </c>
      <c r="B222" s="22">
        <v>134.0</v>
      </c>
      <c r="C222" s="9">
        <v>1.1369116E7</v>
      </c>
      <c r="D222" s="9">
        <v>6788840.0</v>
      </c>
      <c r="E222" s="10" t="str">
        <f>IF(C222&gt;percent,"YES","NO")</f>
        <v>NO</v>
      </c>
      <c r="F222" s="19">
        <v>90800.0</v>
      </c>
      <c r="G222" s="12" t="str">
        <f t="shared" si="2"/>
        <v>NOT FUNDED</v>
      </c>
      <c r="H222" s="20">
        <f t="shared" si="3"/>
        <v>11166</v>
      </c>
      <c r="I222" s="14" t="str">
        <f t="shared" si="1"/>
        <v>Approval Threshold</v>
      </c>
    </row>
    <row r="223">
      <c r="A223" s="18" t="s">
        <v>798</v>
      </c>
      <c r="B223" s="22">
        <v>121.0</v>
      </c>
      <c r="C223" s="9">
        <v>1.1133834E7</v>
      </c>
      <c r="D223" s="9">
        <v>5941097.0</v>
      </c>
      <c r="E223" s="10" t="str">
        <f>IF(C223&gt;percent,"YES","NO")</f>
        <v>NO</v>
      </c>
      <c r="F223" s="19">
        <v>87000.0</v>
      </c>
      <c r="G223" s="12" t="str">
        <f t="shared" si="2"/>
        <v>NOT FUNDED</v>
      </c>
      <c r="H223" s="20">
        <f t="shared" si="3"/>
        <v>11166</v>
      </c>
      <c r="I223" s="14" t="str">
        <f t="shared" si="1"/>
        <v>Approval Threshold</v>
      </c>
    </row>
    <row r="224">
      <c r="A224" s="18" t="s">
        <v>799</v>
      </c>
      <c r="B224" s="22">
        <v>105.0</v>
      </c>
      <c r="C224" s="9">
        <v>1.1115541E7</v>
      </c>
      <c r="D224" s="9">
        <v>8897652.0</v>
      </c>
      <c r="E224" s="10" t="str">
        <f>IF(C224&gt;percent,"YES","NO")</f>
        <v>NO</v>
      </c>
      <c r="F224" s="19">
        <v>26000.0</v>
      </c>
      <c r="G224" s="12" t="str">
        <f t="shared" si="2"/>
        <v>NOT FUNDED</v>
      </c>
      <c r="H224" s="20">
        <f t="shared" si="3"/>
        <v>11166</v>
      </c>
      <c r="I224" s="14" t="str">
        <f t="shared" si="1"/>
        <v>Approval Threshold</v>
      </c>
    </row>
    <row r="225">
      <c r="A225" s="18" t="s">
        <v>800</v>
      </c>
      <c r="B225" s="22">
        <v>117.0</v>
      </c>
      <c r="C225" s="9">
        <v>1.1098218E7</v>
      </c>
      <c r="D225" s="9">
        <v>5752961.0</v>
      </c>
      <c r="E225" s="10" t="str">
        <f>IF(C225&gt;percent,"YES","NO")</f>
        <v>NO</v>
      </c>
      <c r="F225" s="19">
        <v>85000.0</v>
      </c>
      <c r="G225" s="12" t="str">
        <f t="shared" si="2"/>
        <v>NOT FUNDED</v>
      </c>
      <c r="H225" s="20">
        <f t="shared" si="3"/>
        <v>11166</v>
      </c>
      <c r="I225" s="14" t="str">
        <f t="shared" si="1"/>
        <v>Approval Threshold</v>
      </c>
    </row>
    <row r="226">
      <c r="A226" s="18" t="s">
        <v>801</v>
      </c>
      <c r="B226" s="22">
        <v>129.0</v>
      </c>
      <c r="C226" s="9">
        <v>1.0873141E7</v>
      </c>
      <c r="D226" s="9">
        <v>8149131.0</v>
      </c>
      <c r="E226" s="10" t="str">
        <f>IF(C226&gt;percent,"YES","NO")</f>
        <v>NO</v>
      </c>
      <c r="F226" s="19">
        <v>42000.0</v>
      </c>
      <c r="G226" s="12" t="str">
        <f t="shared" si="2"/>
        <v>NOT FUNDED</v>
      </c>
      <c r="H226" s="20">
        <f t="shared" si="3"/>
        <v>11166</v>
      </c>
      <c r="I226" s="14" t="str">
        <f t="shared" si="1"/>
        <v>Approval Threshold</v>
      </c>
    </row>
    <row r="227">
      <c r="A227" s="18" t="s">
        <v>802</v>
      </c>
      <c r="B227" s="22">
        <v>111.0</v>
      </c>
      <c r="C227" s="9">
        <v>1.0848701E7</v>
      </c>
      <c r="D227" s="9">
        <v>1.1501937E7</v>
      </c>
      <c r="E227" s="10" t="str">
        <f>IF(C227&gt;percent,"YES","NO")</f>
        <v>NO</v>
      </c>
      <c r="F227" s="19">
        <v>15000.0</v>
      </c>
      <c r="G227" s="12" t="str">
        <f t="shared" si="2"/>
        <v>NOT FUNDED</v>
      </c>
      <c r="H227" s="20">
        <f t="shared" si="3"/>
        <v>11166</v>
      </c>
      <c r="I227" s="14" t="str">
        <f t="shared" si="1"/>
        <v>Approval Threshold</v>
      </c>
    </row>
    <row r="228">
      <c r="A228" s="18" t="s">
        <v>803</v>
      </c>
      <c r="B228" s="22">
        <v>97.0</v>
      </c>
      <c r="C228" s="9">
        <v>1.0841638E7</v>
      </c>
      <c r="D228" s="9">
        <v>9846079.0</v>
      </c>
      <c r="E228" s="10" t="str">
        <f>IF(C228&gt;percent,"YES","NO")</f>
        <v>NO</v>
      </c>
      <c r="F228" s="19">
        <v>99600.0</v>
      </c>
      <c r="G228" s="12" t="str">
        <f t="shared" si="2"/>
        <v>NOT FUNDED</v>
      </c>
      <c r="H228" s="20">
        <f t="shared" si="3"/>
        <v>11166</v>
      </c>
      <c r="I228" s="14" t="str">
        <f t="shared" si="1"/>
        <v>Approval Threshold</v>
      </c>
    </row>
    <row r="229">
      <c r="A229" s="18" t="s">
        <v>804</v>
      </c>
      <c r="B229" s="22">
        <v>143.0</v>
      </c>
      <c r="C229" s="9">
        <v>1.07819E7</v>
      </c>
      <c r="D229" s="9">
        <v>6393860.0</v>
      </c>
      <c r="E229" s="10" t="str">
        <f>IF(C229&gt;percent,"YES","NO")</f>
        <v>NO</v>
      </c>
      <c r="F229" s="19">
        <v>75000.0</v>
      </c>
      <c r="G229" s="12" t="str">
        <f t="shared" si="2"/>
        <v>NOT FUNDED</v>
      </c>
      <c r="H229" s="20">
        <f t="shared" si="3"/>
        <v>11166</v>
      </c>
      <c r="I229" s="14" t="str">
        <f t="shared" si="1"/>
        <v>Approval Threshold</v>
      </c>
    </row>
    <row r="230">
      <c r="A230" s="18" t="s">
        <v>805</v>
      </c>
      <c r="B230" s="22">
        <v>113.0</v>
      </c>
      <c r="C230" s="9">
        <v>1.0724854E7</v>
      </c>
      <c r="D230" s="9">
        <v>1.0078326E7</v>
      </c>
      <c r="E230" s="10" t="str">
        <f>IF(C230&gt;percent,"YES","NO")</f>
        <v>NO</v>
      </c>
      <c r="F230" s="19">
        <v>100000.0</v>
      </c>
      <c r="G230" s="12" t="str">
        <f t="shared" si="2"/>
        <v>NOT FUNDED</v>
      </c>
      <c r="H230" s="20">
        <f t="shared" si="3"/>
        <v>11166</v>
      </c>
      <c r="I230" s="14" t="str">
        <f t="shared" si="1"/>
        <v>Approval Threshold</v>
      </c>
    </row>
    <row r="231">
      <c r="A231" s="18" t="s">
        <v>806</v>
      </c>
      <c r="B231" s="22">
        <v>137.0</v>
      </c>
      <c r="C231" s="9">
        <v>1.0566443E7</v>
      </c>
      <c r="D231" s="9">
        <v>1.0107841E7</v>
      </c>
      <c r="E231" s="10" t="str">
        <f>IF(C231&gt;percent,"YES","NO")</f>
        <v>NO</v>
      </c>
      <c r="F231" s="19">
        <v>37000.0</v>
      </c>
      <c r="G231" s="12" t="str">
        <f t="shared" si="2"/>
        <v>NOT FUNDED</v>
      </c>
      <c r="H231" s="20">
        <f t="shared" si="3"/>
        <v>11166</v>
      </c>
      <c r="I231" s="14" t="str">
        <f t="shared" si="1"/>
        <v>Approval Threshold</v>
      </c>
    </row>
    <row r="232">
      <c r="A232" s="18" t="s">
        <v>807</v>
      </c>
      <c r="B232" s="22">
        <v>106.0</v>
      </c>
      <c r="C232" s="9">
        <v>1.0418224E7</v>
      </c>
      <c r="D232" s="9">
        <v>9327526.0</v>
      </c>
      <c r="E232" s="10" t="str">
        <f>IF(C232&gt;percent,"YES","NO")</f>
        <v>NO</v>
      </c>
      <c r="F232" s="19">
        <v>49333.0</v>
      </c>
      <c r="G232" s="12" t="str">
        <f t="shared" si="2"/>
        <v>NOT FUNDED</v>
      </c>
      <c r="H232" s="20">
        <f t="shared" si="3"/>
        <v>11166</v>
      </c>
      <c r="I232" s="14" t="str">
        <f t="shared" si="1"/>
        <v>Approval Threshold</v>
      </c>
    </row>
    <row r="233">
      <c r="A233" s="18" t="s">
        <v>808</v>
      </c>
      <c r="B233" s="22">
        <v>104.0</v>
      </c>
      <c r="C233" s="9">
        <v>9902909.0</v>
      </c>
      <c r="D233" s="9">
        <v>9067227.0</v>
      </c>
      <c r="E233" s="10" t="str">
        <f>IF(C233&gt;percent,"YES","NO")</f>
        <v>NO</v>
      </c>
      <c r="F233" s="19">
        <v>100000.0</v>
      </c>
      <c r="G233" s="12" t="str">
        <f t="shared" si="2"/>
        <v>NOT FUNDED</v>
      </c>
      <c r="H233" s="20">
        <f t="shared" si="3"/>
        <v>11166</v>
      </c>
      <c r="I233" s="14" t="str">
        <f t="shared" si="1"/>
        <v>Approval Threshold</v>
      </c>
    </row>
    <row r="234">
      <c r="A234" s="18" t="s">
        <v>809</v>
      </c>
      <c r="B234" s="22">
        <v>112.0</v>
      </c>
      <c r="C234" s="9">
        <v>9538866.0</v>
      </c>
      <c r="D234" s="9">
        <v>9695009.0</v>
      </c>
      <c r="E234" s="10" t="str">
        <f>IF(C234&gt;percent,"YES","NO")</f>
        <v>NO</v>
      </c>
      <c r="F234" s="19">
        <v>95000.0</v>
      </c>
      <c r="G234" s="12" t="str">
        <f t="shared" si="2"/>
        <v>NOT FUNDED</v>
      </c>
      <c r="H234" s="20">
        <f t="shared" si="3"/>
        <v>11166</v>
      </c>
      <c r="I234" s="14" t="str">
        <f t="shared" si="1"/>
        <v>Approval Threshold</v>
      </c>
    </row>
    <row r="235">
      <c r="A235" s="18" t="s">
        <v>810</v>
      </c>
      <c r="B235" s="22">
        <v>120.0</v>
      </c>
      <c r="C235" s="9">
        <v>9465644.0</v>
      </c>
      <c r="D235" s="9">
        <v>9039534.0</v>
      </c>
      <c r="E235" s="10" t="str">
        <f>IF(C235&gt;percent,"YES","NO")</f>
        <v>NO</v>
      </c>
      <c r="F235" s="19">
        <v>45000.0</v>
      </c>
      <c r="G235" s="12" t="str">
        <f t="shared" si="2"/>
        <v>NOT FUNDED</v>
      </c>
      <c r="H235" s="20">
        <f t="shared" si="3"/>
        <v>11166</v>
      </c>
      <c r="I235" s="14" t="str">
        <f t="shared" si="1"/>
        <v>Approval Threshold</v>
      </c>
    </row>
    <row r="236">
      <c r="A236" s="18" t="s">
        <v>811</v>
      </c>
      <c r="B236" s="22">
        <v>92.0</v>
      </c>
      <c r="C236" s="9">
        <v>9459161.0</v>
      </c>
      <c r="D236" s="9">
        <v>8015794.0</v>
      </c>
      <c r="E236" s="10" t="str">
        <f>IF(C236&gt;percent,"YES","NO")</f>
        <v>NO</v>
      </c>
      <c r="F236" s="19">
        <v>72000.0</v>
      </c>
      <c r="G236" s="12" t="str">
        <f t="shared" si="2"/>
        <v>NOT FUNDED</v>
      </c>
      <c r="H236" s="20">
        <f t="shared" si="3"/>
        <v>11166</v>
      </c>
      <c r="I236" s="14" t="str">
        <f t="shared" si="1"/>
        <v>Approval Threshold</v>
      </c>
    </row>
    <row r="237">
      <c r="A237" s="18" t="s">
        <v>812</v>
      </c>
      <c r="B237" s="22">
        <v>119.0</v>
      </c>
      <c r="C237" s="9">
        <v>9392343.0</v>
      </c>
      <c r="D237" s="9">
        <v>7496151.0</v>
      </c>
      <c r="E237" s="10" t="str">
        <f>IF(C237&gt;percent,"YES","NO")</f>
        <v>NO</v>
      </c>
      <c r="F237" s="19">
        <v>56193.0</v>
      </c>
      <c r="G237" s="12" t="str">
        <f t="shared" si="2"/>
        <v>NOT FUNDED</v>
      </c>
      <c r="H237" s="20">
        <f t="shared" si="3"/>
        <v>11166</v>
      </c>
      <c r="I237" s="14" t="str">
        <f t="shared" si="1"/>
        <v>Approval Threshold</v>
      </c>
    </row>
    <row r="238">
      <c r="A238" s="18" t="s">
        <v>813</v>
      </c>
      <c r="B238" s="22">
        <v>118.0</v>
      </c>
      <c r="C238" s="9">
        <v>9377879.0</v>
      </c>
      <c r="D238" s="9">
        <v>2.3154608E7</v>
      </c>
      <c r="E238" s="10" t="str">
        <f>IF(C238&gt;percent,"YES","NO")</f>
        <v>NO</v>
      </c>
      <c r="F238" s="19">
        <v>24000.0</v>
      </c>
      <c r="G238" s="12" t="str">
        <f t="shared" si="2"/>
        <v>NOT FUNDED</v>
      </c>
      <c r="H238" s="20">
        <f t="shared" si="3"/>
        <v>11166</v>
      </c>
      <c r="I238" s="14" t="str">
        <f t="shared" si="1"/>
        <v>Approval Threshold</v>
      </c>
    </row>
    <row r="239">
      <c r="A239" s="18" t="s">
        <v>814</v>
      </c>
      <c r="B239" s="22">
        <v>105.0</v>
      </c>
      <c r="C239" s="9">
        <v>9314084.0</v>
      </c>
      <c r="D239" s="9">
        <v>1.2916274E7</v>
      </c>
      <c r="E239" s="10" t="str">
        <f>IF(C239&gt;percent,"YES","NO")</f>
        <v>NO</v>
      </c>
      <c r="F239" s="19">
        <v>47200.0</v>
      </c>
      <c r="G239" s="12" t="str">
        <f t="shared" si="2"/>
        <v>NOT FUNDED</v>
      </c>
      <c r="H239" s="20">
        <f t="shared" si="3"/>
        <v>11166</v>
      </c>
      <c r="I239" s="14" t="str">
        <f t="shared" si="1"/>
        <v>Approval Threshold</v>
      </c>
    </row>
    <row r="240">
      <c r="A240" s="18" t="s">
        <v>815</v>
      </c>
      <c r="B240" s="22">
        <v>106.0</v>
      </c>
      <c r="C240" s="9">
        <v>9286400.0</v>
      </c>
      <c r="D240" s="9">
        <v>2.316516E7</v>
      </c>
      <c r="E240" s="10" t="str">
        <f>IF(C240&gt;percent,"YES","NO")</f>
        <v>NO</v>
      </c>
      <c r="F240" s="19">
        <v>90000.0</v>
      </c>
      <c r="G240" s="12" t="str">
        <f t="shared" si="2"/>
        <v>NOT FUNDED</v>
      </c>
      <c r="H240" s="20">
        <f t="shared" si="3"/>
        <v>11166</v>
      </c>
      <c r="I240" s="14" t="str">
        <f t="shared" si="1"/>
        <v>Approval Threshold</v>
      </c>
    </row>
    <row r="241">
      <c r="A241" s="18" t="s">
        <v>816</v>
      </c>
      <c r="B241" s="22">
        <v>122.0</v>
      </c>
      <c r="C241" s="9">
        <v>9251178.0</v>
      </c>
      <c r="D241" s="9">
        <v>7943978.0</v>
      </c>
      <c r="E241" s="10" t="str">
        <f>IF(C241&gt;percent,"YES","NO")</f>
        <v>NO</v>
      </c>
      <c r="F241" s="19">
        <v>30000.0</v>
      </c>
      <c r="G241" s="12" t="str">
        <f t="shared" si="2"/>
        <v>NOT FUNDED</v>
      </c>
      <c r="H241" s="20">
        <f t="shared" si="3"/>
        <v>11166</v>
      </c>
      <c r="I241" s="14" t="str">
        <f t="shared" si="1"/>
        <v>Approval Threshold</v>
      </c>
    </row>
    <row r="242">
      <c r="A242" s="18" t="s">
        <v>817</v>
      </c>
      <c r="B242" s="22">
        <v>94.0</v>
      </c>
      <c r="C242" s="9">
        <v>8687543.0</v>
      </c>
      <c r="D242" s="9">
        <v>7656982.0</v>
      </c>
      <c r="E242" s="10" t="str">
        <f>IF(C242&gt;percent,"YES","NO")</f>
        <v>NO</v>
      </c>
      <c r="F242" s="19">
        <v>75000.0</v>
      </c>
      <c r="G242" s="12" t="str">
        <f t="shared" si="2"/>
        <v>NOT FUNDED</v>
      </c>
      <c r="H242" s="20">
        <f t="shared" si="3"/>
        <v>11166</v>
      </c>
      <c r="I242" s="14" t="str">
        <f t="shared" si="1"/>
        <v>Approval Threshold</v>
      </c>
    </row>
    <row r="243">
      <c r="A243" s="18" t="s">
        <v>818</v>
      </c>
      <c r="B243" s="22">
        <v>104.0</v>
      </c>
      <c r="C243" s="9">
        <v>8470239.0</v>
      </c>
      <c r="D243" s="9">
        <v>8484226.0</v>
      </c>
      <c r="E243" s="10" t="str">
        <f>IF(C243&gt;percent,"YES","NO")</f>
        <v>NO</v>
      </c>
      <c r="F243" s="19">
        <v>80000.0</v>
      </c>
      <c r="G243" s="12" t="str">
        <f t="shared" si="2"/>
        <v>NOT FUNDED</v>
      </c>
      <c r="H243" s="20">
        <f t="shared" si="3"/>
        <v>11166</v>
      </c>
      <c r="I243" s="14" t="str">
        <f t="shared" si="1"/>
        <v>Approval Threshold</v>
      </c>
    </row>
    <row r="244">
      <c r="A244" s="18" t="s">
        <v>819</v>
      </c>
      <c r="B244" s="22">
        <v>110.0</v>
      </c>
      <c r="C244" s="9">
        <v>8452039.0</v>
      </c>
      <c r="D244" s="9">
        <v>6826571.0</v>
      </c>
      <c r="E244" s="10" t="str">
        <f>IF(C244&gt;percent,"YES","NO")</f>
        <v>NO</v>
      </c>
      <c r="F244" s="19">
        <v>95000.0</v>
      </c>
      <c r="G244" s="12" t="str">
        <f t="shared" si="2"/>
        <v>NOT FUNDED</v>
      </c>
      <c r="H244" s="20">
        <f t="shared" si="3"/>
        <v>11166</v>
      </c>
      <c r="I244" s="14" t="str">
        <f t="shared" si="1"/>
        <v>Approval Threshold</v>
      </c>
    </row>
    <row r="245">
      <c r="A245" s="18" t="s">
        <v>820</v>
      </c>
      <c r="B245" s="22">
        <v>113.0</v>
      </c>
      <c r="C245" s="9">
        <v>8305142.0</v>
      </c>
      <c r="D245" s="9">
        <v>1.0203481E7</v>
      </c>
      <c r="E245" s="10" t="str">
        <f>IF(C245&gt;percent,"YES","NO")</f>
        <v>NO</v>
      </c>
      <c r="F245" s="19">
        <v>50000.0</v>
      </c>
      <c r="G245" s="12" t="str">
        <f t="shared" si="2"/>
        <v>NOT FUNDED</v>
      </c>
      <c r="H245" s="20">
        <f t="shared" si="3"/>
        <v>11166</v>
      </c>
      <c r="I245" s="14" t="str">
        <f t="shared" si="1"/>
        <v>Approval Threshold</v>
      </c>
    </row>
    <row r="246">
      <c r="A246" s="18" t="s">
        <v>821</v>
      </c>
      <c r="B246" s="22">
        <v>121.0</v>
      </c>
      <c r="C246" s="9">
        <v>8244682.0</v>
      </c>
      <c r="D246" s="9">
        <v>8810133.0</v>
      </c>
      <c r="E246" s="10" t="str">
        <f>IF(C246&gt;percent,"YES","NO")</f>
        <v>NO</v>
      </c>
      <c r="F246" s="19">
        <v>85000.0</v>
      </c>
      <c r="G246" s="12" t="str">
        <f t="shared" si="2"/>
        <v>NOT FUNDED</v>
      </c>
      <c r="H246" s="20">
        <f t="shared" si="3"/>
        <v>11166</v>
      </c>
      <c r="I246" s="14" t="str">
        <f t="shared" si="1"/>
        <v>Approval Threshold</v>
      </c>
    </row>
    <row r="247">
      <c r="A247" s="18" t="s">
        <v>822</v>
      </c>
      <c r="B247" s="22">
        <v>119.0</v>
      </c>
      <c r="C247" s="9">
        <v>8153390.0</v>
      </c>
      <c r="D247" s="9">
        <v>1.0232781E7</v>
      </c>
      <c r="E247" s="10" t="str">
        <f>IF(C247&gt;percent,"YES","NO")</f>
        <v>NO</v>
      </c>
      <c r="F247" s="19">
        <v>100000.0</v>
      </c>
      <c r="G247" s="12" t="str">
        <f t="shared" si="2"/>
        <v>NOT FUNDED</v>
      </c>
      <c r="H247" s="20">
        <f t="shared" si="3"/>
        <v>11166</v>
      </c>
      <c r="I247" s="14" t="str">
        <f t="shared" si="1"/>
        <v>Approval Threshold</v>
      </c>
    </row>
    <row r="248">
      <c r="A248" s="18" t="s">
        <v>823</v>
      </c>
      <c r="B248" s="22">
        <v>124.0</v>
      </c>
      <c r="C248" s="9">
        <v>8114540.0</v>
      </c>
      <c r="D248" s="9">
        <v>1.2182835E7</v>
      </c>
      <c r="E248" s="10" t="str">
        <f>IF(C248&gt;percent,"YES","NO")</f>
        <v>NO</v>
      </c>
      <c r="F248" s="19">
        <v>100000.0</v>
      </c>
      <c r="G248" s="12" t="str">
        <f t="shared" si="2"/>
        <v>NOT FUNDED</v>
      </c>
      <c r="H248" s="20">
        <f t="shared" si="3"/>
        <v>11166</v>
      </c>
      <c r="I248" s="14" t="str">
        <f t="shared" si="1"/>
        <v>Approval Threshold</v>
      </c>
    </row>
    <row r="249">
      <c r="A249" s="18" t="s">
        <v>824</v>
      </c>
      <c r="B249" s="22">
        <v>100.0</v>
      </c>
      <c r="C249" s="9">
        <v>7975421.0</v>
      </c>
      <c r="D249" s="9">
        <v>6843276.0</v>
      </c>
      <c r="E249" s="10" t="str">
        <f>IF(C249&gt;percent,"YES","NO")</f>
        <v>NO</v>
      </c>
      <c r="F249" s="19">
        <v>96000.0</v>
      </c>
      <c r="G249" s="12" t="str">
        <f t="shared" si="2"/>
        <v>NOT FUNDED</v>
      </c>
      <c r="H249" s="20">
        <f t="shared" si="3"/>
        <v>11166</v>
      </c>
      <c r="I249" s="14" t="str">
        <f t="shared" si="1"/>
        <v>Approval Threshold</v>
      </c>
    </row>
    <row r="250">
      <c r="A250" s="18" t="s">
        <v>825</v>
      </c>
      <c r="B250" s="22">
        <v>99.0</v>
      </c>
      <c r="C250" s="9">
        <v>7804662.0</v>
      </c>
      <c r="D250" s="9">
        <v>6456738.0</v>
      </c>
      <c r="E250" s="10" t="str">
        <f>IF(C250&gt;percent,"YES","NO")</f>
        <v>NO</v>
      </c>
      <c r="F250" s="19">
        <v>97500.0</v>
      </c>
      <c r="G250" s="12" t="str">
        <f t="shared" si="2"/>
        <v>NOT FUNDED</v>
      </c>
      <c r="H250" s="20">
        <f t="shared" si="3"/>
        <v>11166</v>
      </c>
      <c r="I250" s="14" t="str">
        <f t="shared" si="1"/>
        <v>Approval Threshold</v>
      </c>
    </row>
    <row r="251">
      <c r="A251" s="18" t="s">
        <v>826</v>
      </c>
      <c r="B251" s="22">
        <v>113.0</v>
      </c>
      <c r="C251" s="9">
        <v>7282224.0</v>
      </c>
      <c r="D251" s="9">
        <v>6599055.0</v>
      </c>
      <c r="E251" s="10" t="str">
        <f>IF(C251&gt;percent,"YES","NO")</f>
        <v>NO</v>
      </c>
      <c r="F251" s="19">
        <v>85000.0</v>
      </c>
      <c r="G251" s="12" t="str">
        <f t="shared" si="2"/>
        <v>NOT FUNDED</v>
      </c>
      <c r="H251" s="20">
        <f t="shared" si="3"/>
        <v>11166</v>
      </c>
      <c r="I251" s="14" t="str">
        <f t="shared" si="1"/>
        <v>Approval Threshold</v>
      </c>
    </row>
    <row r="252">
      <c r="A252" s="18" t="s">
        <v>827</v>
      </c>
      <c r="B252" s="22">
        <v>112.0</v>
      </c>
      <c r="C252" s="9">
        <v>7005446.0</v>
      </c>
      <c r="D252" s="9">
        <v>1.5703277E7</v>
      </c>
      <c r="E252" s="10" t="str">
        <f>IF(C252&gt;percent,"YES","NO")</f>
        <v>NO</v>
      </c>
      <c r="F252" s="19">
        <v>100000.0</v>
      </c>
      <c r="G252" s="12" t="str">
        <f t="shared" si="2"/>
        <v>NOT FUNDED</v>
      </c>
      <c r="H252" s="20">
        <f t="shared" si="3"/>
        <v>11166</v>
      </c>
      <c r="I252" s="14" t="str">
        <f t="shared" si="1"/>
        <v>Approval Threshold</v>
      </c>
    </row>
    <row r="253">
      <c r="A253" s="18" t="s">
        <v>828</v>
      </c>
      <c r="B253" s="22">
        <v>101.0</v>
      </c>
      <c r="C253" s="9">
        <v>6572662.0</v>
      </c>
      <c r="D253" s="9">
        <v>1.1677489E7</v>
      </c>
      <c r="E253" s="10" t="str">
        <f>IF(C253&gt;percent,"YES","NO")</f>
        <v>NO</v>
      </c>
      <c r="F253" s="19">
        <v>100000.0</v>
      </c>
      <c r="G253" s="12" t="str">
        <f t="shared" si="2"/>
        <v>NOT FUNDED</v>
      </c>
      <c r="H253" s="20">
        <f t="shared" si="3"/>
        <v>11166</v>
      </c>
      <c r="I253" s="14" t="str">
        <f t="shared" si="1"/>
        <v>Approval Threshold</v>
      </c>
    </row>
    <row r="254">
      <c r="A254" s="18" t="s">
        <v>829</v>
      </c>
      <c r="B254" s="22">
        <v>103.0</v>
      </c>
      <c r="C254" s="9">
        <v>6532940.0</v>
      </c>
      <c r="D254" s="9">
        <v>1.1231929E7</v>
      </c>
      <c r="E254" s="10" t="str">
        <f>IF(C254&gt;percent,"YES","NO")</f>
        <v>NO</v>
      </c>
      <c r="F254" s="19">
        <v>25000.0</v>
      </c>
      <c r="G254" s="12" t="str">
        <f t="shared" si="2"/>
        <v>NOT FUNDED</v>
      </c>
      <c r="H254" s="20">
        <f t="shared" si="3"/>
        <v>11166</v>
      </c>
      <c r="I254" s="14" t="str">
        <f t="shared" si="1"/>
        <v>Approval Threshold</v>
      </c>
    </row>
    <row r="255">
      <c r="A255" s="18" t="s">
        <v>830</v>
      </c>
      <c r="B255" s="22">
        <v>106.0</v>
      </c>
      <c r="C255" s="9">
        <v>6479121.0</v>
      </c>
      <c r="D255" s="9">
        <v>1.2456353E7</v>
      </c>
      <c r="E255" s="10" t="str">
        <f>IF(C255&gt;percent,"YES","NO")</f>
        <v>NO</v>
      </c>
      <c r="F255" s="19">
        <v>100000.0</v>
      </c>
      <c r="G255" s="12" t="str">
        <f t="shared" si="2"/>
        <v>NOT FUNDED</v>
      </c>
      <c r="H255" s="20">
        <f t="shared" si="3"/>
        <v>11166</v>
      </c>
      <c r="I255" s="14" t="str">
        <f t="shared" si="1"/>
        <v>Approval Threshold</v>
      </c>
    </row>
    <row r="256">
      <c r="A256" s="18" t="s">
        <v>831</v>
      </c>
      <c r="B256" s="22">
        <v>110.0</v>
      </c>
      <c r="C256" s="9">
        <v>6391423.0</v>
      </c>
      <c r="D256" s="9">
        <v>1.2048551E7</v>
      </c>
      <c r="E256" s="10" t="str">
        <f>IF(C256&gt;percent,"YES","NO")</f>
        <v>NO</v>
      </c>
      <c r="F256" s="19">
        <v>98000.0</v>
      </c>
      <c r="G256" s="12" t="str">
        <f t="shared" si="2"/>
        <v>NOT FUNDED</v>
      </c>
      <c r="H256" s="20">
        <f t="shared" si="3"/>
        <v>11166</v>
      </c>
      <c r="I256" s="14" t="str">
        <f t="shared" si="1"/>
        <v>Approval Threshold</v>
      </c>
    </row>
    <row r="257">
      <c r="A257" s="18" t="s">
        <v>832</v>
      </c>
      <c r="B257" s="22">
        <v>96.0</v>
      </c>
      <c r="C257" s="9">
        <v>6172404.0</v>
      </c>
      <c r="D257" s="9">
        <v>6406662.0</v>
      </c>
      <c r="E257" s="10" t="str">
        <f>IF(C257&gt;percent,"YES","NO")</f>
        <v>NO</v>
      </c>
      <c r="F257" s="19">
        <v>80000.0</v>
      </c>
      <c r="G257" s="12" t="str">
        <f t="shared" si="2"/>
        <v>NOT FUNDED</v>
      </c>
      <c r="H257" s="20">
        <f t="shared" si="3"/>
        <v>11166</v>
      </c>
      <c r="I257" s="14" t="str">
        <f t="shared" si="1"/>
        <v>Approval Threshold</v>
      </c>
    </row>
    <row r="258">
      <c r="A258" s="18" t="s">
        <v>833</v>
      </c>
      <c r="B258" s="22">
        <v>99.0</v>
      </c>
      <c r="C258" s="9">
        <v>5842407.0</v>
      </c>
      <c r="D258" s="9">
        <v>1.1258487E7</v>
      </c>
      <c r="E258" s="10" t="str">
        <f>IF(C258&gt;percent,"YES","NO")</f>
        <v>NO</v>
      </c>
      <c r="F258" s="19">
        <v>85000.0</v>
      </c>
      <c r="G258" s="12" t="str">
        <f t="shared" si="2"/>
        <v>NOT FUNDED</v>
      </c>
      <c r="H258" s="20">
        <f t="shared" si="3"/>
        <v>11166</v>
      </c>
      <c r="I258" s="14" t="str">
        <f t="shared" si="1"/>
        <v>Approval Threshold</v>
      </c>
    </row>
    <row r="259">
      <c r="A259" s="18" t="s">
        <v>834</v>
      </c>
      <c r="B259" s="22">
        <v>93.0</v>
      </c>
      <c r="C259" s="9">
        <v>5706698.0</v>
      </c>
      <c r="D259" s="9">
        <v>8815843.0</v>
      </c>
      <c r="E259" s="10" t="str">
        <f>IF(C259&gt;percent,"YES","NO")</f>
        <v>NO</v>
      </c>
      <c r="F259" s="19">
        <v>50000.0</v>
      </c>
      <c r="G259" s="12" t="str">
        <f t="shared" si="2"/>
        <v>NOT FUNDED</v>
      </c>
      <c r="H259" s="20">
        <f t="shared" si="3"/>
        <v>11166</v>
      </c>
      <c r="I259" s="14" t="str">
        <f t="shared" si="1"/>
        <v>Approval Threshold</v>
      </c>
    </row>
    <row r="260">
      <c r="A260" s="18" t="s">
        <v>835</v>
      </c>
      <c r="B260" s="22">
        <v>115.0</v>
      </c>
      <c r="C260" s="9">
        <v>5090174.0</v>
      </c>
      <c r="D260" s="9">
        <v>1.0077812E7</v>
      </c>
      <c r="E260" s="10" t="str">
        <f>IF(C260&gt;percent,"YES","NO")</f>
        <v>NO</v>
      </c>
      <c r="F260" s="19">
        <v>60000.0</v>
      </c>
      <c r="G260" s="12" t="str">
        <f t="shared" si="2"/>
        <v>NOT FUNDED</v>
      </c>
      <c r="H260" s="20">
        <f t="shared" si="3"/>
        <v>11166</v>
      </c>
      <c r="I260" s="14" t="str">
        <f t="shared" si="1"/>
        <v>Approval Threshold</v>
      </c>
    </row>
    <row r="261">
      <c r="A261" s="18" t="s">
        <v>836</v>
      </c>
      <c r="B261" s="22">
        <v>91.0</v>
      </c>
      <c r="C261" s="9">
        <v>5063147.0</v>
      </c>
      <c r="D261" s="9">
        <v>7349792.0</v>
      </c>
      <c r="E261" s="10" t="str">
        <f>IF(C261&gt;percent,"YES","NO")</f>
        <v>NO</v>
      </c>
      <c r="F261" s="19">
        <v>70000.0</v>
      </c>
      <c r="G261" s="12" t="str">
        <f t="shared" si="2"/>
        <v>NOT FUNDED</v>
      </c>
      <c r="H261" s="20">
        <f t="shared" si="3"/>
        <v>11166</v>
      </c>
      <c r="I261" s="14" t="str">
        <f t="shared" si="1"/>
        <v>Approval Threshold</v>
      </c>
    </row>
    <row r="262">
      <c r="A262" s="18" t="s">
        <v>837</v>
      </c>
      <c r="B262" s="22">
        <v>106.0</v>
      </c>
      <c r="C262" s="9">
        <v>4703326.0</v>
      </c>
      <c r="D262" s="9">
        <v>1.4365149E7</v>
      </c>
      <c r="E262" s="10" t="str">
        <f>IF(C262&gt;percent,"YES","NO")</f>
        <v>NO</v>
      </c>
      <c r="F262" s="19">
        <v>65000.0</v>
      </c>
      <c r="G262" s="12" t="str">
        <f t="shared" si="2"/>
        <v>NOT FUNDED</v>
      </c>
      <c r="H262" s="20">
        <f t="shared" si="3"/>
        <v>11166</v>
      </c>
      <c r="I262" s="14" t="str">
        <f t="shared" si="1"/>
        <v>Approval Threshold</v>
      </c>
    </row>
    <row r="263">
      <c r="A263" s="18" t="s">
        <v>838</v>
      </c>
      <c r="B263" s="22">
        <v>102.0</v>
      </c>
      <c r="C263" s="9">
        <v>4593459.0</v>
      </c>
      <c r="D263" s="9">
        <v>1.0059488E7</v>
      </c>
      <c r="E263" s="10" t="str">
        <f>IF(C263&gt;percent,"YES","NO")</f>
        <v>NO</v>
      </c>
      <c r="F263" s="19">
        <v>42000.0</v>
      </c>
      <c r="G263" s="12" t="str">
        <f t="shared" si="2"/>
        <v>NOT FUNDED</v>
      </c>
      <c r="H263" s="20">
        <f t="shared" si="3"/>
        <v>11166</v>
      </c>
      <c r="I263" s="14" t="str">
        <f t="shared" si="1"/>
        <v>Approval Threshold</v>
      </c>
    </row>
    <row r="264">
      <c r="A264" s="18" t="s">
        <v>839</v>
      </c>
      <c r="B264" s="22">
        <v>105.0</v>
      </c>
      <c r="C264" s="9">
        <v>4052397.0</v>
      </c>
      <c r="D264" s="9">
        <v>1.1000026E7</v>
      </c>
      <c r="E264" s="10" t="str">
        <f>IF(C264&gt;percent,"YES","NO")</f>
        <v>NO</v>
      </c>
      <c r="F264" s="19">
        <v>95000.0</v>
      </c>
      <c r="G264" s="12" t="str">
        <f t="shared" si="2"/>
        <v>NOT FUNDED</v>
      </c>
      <c r="H264" s="20">
        <f t="shared" si="3"/>
        <v>11166</v>
      </c>
      <c r="I264" s="14" t="str">
        <f t="shared" si="1"/>
        <v>Approval Threshold</v>
      </c>
    </row>
    <row r="265">
      <c r="A265" s="18" t="s">
        <v>840</v>
      </c>
      <c r="B265" s="22">
        <v>95.0</v>
      </c>
      <c r="C265" s="9">
        <v>3614937.0</v>
      </c>
      <c r="D265" s="9">
        <v>9499968.0</v>
      </c>
      <c r="E265" s="10" t="str">
        <f>IF(C265&gt;percent,"YES","NO")</f>
        <v>NO</v>
      </c>
      <c r="F265" s="19">
        <v>50000.0</v>
      </c>
      <c r="G265" s="12" t="str">
        <f t="shared" si="2"/>
        <v>NOT FUNDED</v>
      </c>
      <c r="H265" s="20">
        <f t="shared" si="3"/>
        <v>11166</v>
      </c>
      <c r="I265" s="14" t="str">
        <f t="shared" si="1"/>
        <v>Approval Threshold</v>
      </c>
    </row>
  </sheetData>
  <autoFilter ref="$A$1:$F$265">
    <sortState ref="A1:F265">
      <sortCondition descending="1" ref="C1:C265"/>
    </sortState>
  </autoFilter>
  <conditionalFormatting sqref="G2:G265">
    <cfRule type="cellIs" dxfId="0" priority="1" operator="equal">
      <formula>"FUNDED"</formula>
    </cfRule>
  </conditionalFormatting>
  <conditionalFormatting sqref="G2:G265">
    <cfRule type="cellIs" dxfId="1" priority="2" operator="equal">
      <formula>"NOT FUNDED"</formula>
    </cfRule>
  </conditionalFormatting>
  <conditionalFormatting sqref="I2:I265">
    <cfRule type="cellIs" dxfId="0" priority="3" operator="greaterThan">
      <formula>999</formula>
    </cfRule>
  </conditionalFormatting>
  <conditionalFormatting sqref="I2:I265">
    <cfRule type="cellIs" dxfId="0" priority="4" operator="greaterThan">
      <formula>999</formula>
    </cfRule>
  </conditionalFormatting>
  <conditionalFormatting sqref="I2:I265">
    <cfRule type="containsText" dxfId="1" priority="5" operator="containsText" text="NOT FUNDED">
      <formula>NOT(ISERROR(SEARCH(("NOT FUNDED"),(I2))))</formula>
    </cfRule>
  </conditionalFormatting>
  <conditionalFormatting sqref="I2:I265">
    <cfRule type="cellIs" dxfId="2" priority="6" operator="equal">
      <formula>"Over Budget"</formula>
    </cfRule>
  </conditionalFormatting>
  <conditionalFormatting sqref="I2:I265">
    <cfRule type="cellIs" dxfId="1" priority="7" operator="equal">
      <formula>"Approval Threshold"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</hyperlinks>
  <drawing r:id="rId26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4.0"/>
    <col customWidth="1" min="3" max="4" width="17.88"/>
    <col customWidth="1" min="5" max="5" width="11.88"/>
    <col customWidth="1" min="6" max="6" width="15.63"/>
    <col customWidth="1" min="7" max="7" width="12.25"/>
    <col customWidth="1" min="8" max="8" width="13.25"/>
    <col customWidth="1" min="9" max="9" width="26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7" t="s">
        <v>7</v>
      </c>
      <c r="I1" s="6" t="s">
        <v>8</v>
      </c>
    </row>
    <row r="2">
      <c r="A2" s="18" t="s">
        <v>841</v>
      </c>
      <c r="B2" s="8">
        <v>441.0</v>
      </c>
      <c r="C2" s="9">
        <v>1.94035909E8</v>
      </c>
      <c r="D2" s="9">
        <v>2.1109287E7</v>
      </c>
      <c r="E2" s="10" t="str">
        <f>IF(C2&gt;percent,"YES","NO")</f>
        <v>YES</v>
      </c>
      <c r="F2" s="19">
        <v>60000.0</v>
      </c>
      <c r="G2" s="12" t="str">
        <f>If(eco&gt;=F2,IF(E2="Yes","FUNDED","NOT FUNDED"),"NOT FUNDED")</f>
        <v>FUNDED</v>
      </c>
      <c r="H2" s="20">
        <f>If(eco&gt;=F2,eco-F2,eco)</f>
        <v>2940000</v>
      </c>
      <c r="I2" s="14" t="str">
        <f t="shared" ref="I2:I451" si="1">If(E2="YES",IF(G2="FUNDED","","Over Budget"),"Approval Threshold")</f>
        <v/>
      </c>
    </row>
    <row r="3">
      <c r="A3" s="18" t="s">
        <v>842</v>
      </c>
      <c r="B3" s="8">
        <v>105.0</v>
      </c>
      <c r="C3" s="9">
        <v>9.8638955E7</v>
      </c>
      <c r="D3" s="9">
        <v>1.3313188E7</v>
      </c>
      <c r="E3" s="10" t="str">
        <f>IF(C3&gt;percent,"YES","NO")</f>
        <v>YES</v>
      </c>
      <c r="F3" s="19">
        <v>60000.0</v>
      </c>
      <c r="G3" s="12" t="str">
        <f t="shared" ref="G3:G451" si="2">If(H2&gt;=F3,IF(E3="Yes","FUNDED","NOT FUNDED"),"NOT FUNDED")</f>
        <v>FUNDED</v>
      </c>
      <c r="H3" s="20">
        <f t="shared" ref="H3:H451" si="3">If(G3="FUNDED",IF(H2&gt;=F3,(H2-F3),H2),H2)</f>
        <v>2880000</v>
      </c>
      <c r="I3" s="14" t="str">
        <f t="shared" si="1"/>
        <v/>
      </c>
    </row>
    <row r="4">
      <c r="A4" s="18" t="s">
        <v>843</v>
      </c>
      <c r="B4" s="8">
        <v>240.0</v>
      </c>
      <c r="C4" s="9">
        <v>9.8549043E7</v>
      </c>
      <c r="D4" s="9">
        <v>8494702.0</v>
      </c>
      <c r="E4" s="10" t="str">
        <f>IF(C4&gt;percent,"YES","NO")</f>
        <v>YES</v>
      </c>
      <c r="F4" s="19">
        <v>60000.0</v>
      </c>
      <c r="G4" s="12" t="str">
        <f t="shared" si="2"/>
        <v>FUNDED</v>
      </c>
      <c r="H4" s="20">
        <f t="shared" si="3"/>
        <v>2820000</v>
      </c>
      <c r="I4" s="14" t="str">
        <f t="shared" si="1"/>
        <v/>
      </c>
    </row>
    <row r="5">
      <c r="A5" s="18" t="s">
        <v>844</v>
      </c>
      <c r="B5" s="8">
        <v>219.0</v>
      </c>
      <c r="C5" s="9">
        <v>9.0777052E7</v>
      </c>
      <c r="D5" s="9">
        <v>9254597.0</v>
      </c>
      <c r="E5" s="10" t="str">
        <f>IF(C5&gt;percent,"YES","NO")</f>
        <v>YES</v>
      </c>
      <c r="F5" s="19">
        <v>60000.0</v>
      </c>
      <c r="G5" s="12" t="str">
        <f t="shared" si="2"/>
        <v>FUNDED</v>
      </c>
      <c r="H5" s="20">
        <f t="shared" si="3"/>
        <v>2760000</v>
      </c>
      <c r="I5" s="14" t="str">
        <f t="shared" si="1"/>
        <v/>
      </c>
    </row>
    <row r="6">
      <c r="A6" s="18" t="s">
        <v>845</v>
      </c>
      <c r="B6" s="8">
        <v>243.0</v>
      </c>
      <c r="C6" s="9">
        <v>8.8806066E7</v>
      </c>
      <c r="D6" s="9">
        <v>3.0807654E7</v>
      </c>
      <c r="E6" s="10" t="str">
        <f>IF(C6&gt;percent,"YES","NO")</f>
        <v>YES</v>
      </c>
      <c r="F6" s="19">
        <v>32000.0</v>
      </c>
      <c r="G6" s="12" t="str">
        <f t="shared" si="2"/>
        <v>FUNDED</v>
      </c>
      <c r="H6" s="20">
        <f t="shared" si="3"/>
        <v>2728000</v>
      </c>
      <c r="I6" s="14" t="str">
        <f t="shared" si="1"/>
        <v/>
      </c>
    </row>
    <row r="7">
      <c r="A7" s="18" t="s">
        <v>846</v>
      </c>
      <c r="B7" s="8">
        <v>172.0</v>
      </c>
      <c r="C7" s="9">
        <v>8.4819482E7</v>
      </c>
      <c r="D7" s="9">
        <v>1.1807915E7</v>
      </c>
      <c r="E7" s="10" t="str">
        <f>IF(C7&gt;percent,"YES","NO")</f>
        <v>YES</v>
      </c>
      <c r="F7" s="19">
        <v>60000.0</v>
      </c>
      <c r="G7" s="12" t="str">
        <f t="shared" si="2"/>
        <v>FUNDED</v>
      </c>
      <c r="H7" s="20">
        <f t="shared" si="3"/>
        <v>2668000</v>
      </c>
      <c r="I7" s="14" t="str">
        <f t="shared" si="1"/>
        <v/>
      </c>
    </row>
    <row r="8">
      <c r="A8" s="18" t="s">
        <v>847</v>
      </c>
      <c r="B8" s="8">
        <v>133.0</v>
      </c>
      <c r="C8" s="9">
        <v>8.2077411E7</v>
      </c>
      <c r="D8" s="9">
        <v>1.5354501E7</v>
      </c>
      <c r="E8" s="10" t="str">
        <f>IF(C8&gt;percent,"YES","NO")</f>
        <v>YES</v>
      </c>
      <c r="F8" s="19">
        <v>60000.0</v>
      </c>
      <c r="G8" s="12" t="str">
        <f t="shared" si="2"/>
        <v>FUNDED</v>
      </c>
      <c r="H8" s="20">
        <f t="shared" si="3"/>
        <v>2608000</v>
      </c>
      <c r="I8" s="14" t="str">
        <f t="shared" si="1"/>
        <v/>
      </c>
    </row>
    <row r="9">
      <c r="A9" s="18" t="s">
        <v>848</v>
      </c>
      <c r="B9" s="8">
        <v>223.0</v>
      </c>
      <c r="C9" s="9">
        <v>8.0885387E7</v>
      </c>
      <c r="D9" s="9">
        <v>1.0940053E7</v>
      </c>
      <c r="E9" s="10" t="str">
        <f>IF(C9&gt;percent,"YES","NO")</f>
        <v>YES</v>
      </c>
      <c r="F9" s="19">
        <v>60000.0</v>
      </c>
      <c r="G9" s="12" t="str">
        <f t="shared" si="2"/>
        <v>FUNDED</v>
      </c>
      <c r="H9" s="20">
        <f t="shared" si="3"/>
        <v>2548000</v>
      </c>
      <c r="I9" s="14" t="str">
        <f t="shared" si="1"/>
        <v/>
      </c>
    </row>
    <row r="10">
      <c r="A10" s="18" t="s">
        <v>849</v>
      </c>
      <c r="B10" s="8">
        <v>134.0</v>
      </c>
      <c r="C10" s="9">
        <v>8.014604E7</v>
      </c>
      <c r="D10" s="9">
        <v>2.5073605E7</v>
      </c>
      <c r="E10" s="10" t="str">
        <f>IF(C10&gt;percent,"YES","NO")</f>
        <v>YES</v>
      </c>
      <c r="F10" s="19">
        <v>18000.0</v>
      </c>
      <c r="G10" s="12" t="str">
        <f t="shared" si="2"/>
        <v>FUNDED</v>
      </c>
      <c r="H10" s="20">
        <f t="shared" si="3"/>
        <v>2530000</v>
      </c>
      <c r="I10" s="14" t="str">
        <f t="shared" si="1"/>
        <v/>
      </c>
    </row>
    <row r="11">
      <c r="A11" s="18" t="s">
        <v>850</v>
      </c>
      <c r="B11" s="8">
        <v>181.0</v>
      </c>
      <c r="C11" s="9">
        <v>7.812779E7</v>
      </c>
      <c r="D11" s="9">
        <v>1.3925422E7</v>
      </c>
      <c r="E11" s="10" t="str">
        <f>IF(C11&gt;percent,"YES","NO")</f>
        <v>YES</v>
      </c>
      <c r="F11" s="19">
        <v>60000.0</v>
      </c>
      <c r="G11" s="12" t="str">
        <f t="shared" si="2"/>
        <v>FUNDED</v>
      </c>
      <c r="H11" s="20">
        <f t="shared" si="3"/>
        <v>2470000</v>
      </c>
      <c r="I11" s="14" t="str">
        <f t="shared" si="1"/>
        <v/>
      </c>
    </row>
    <row r="12">
      <c r="A12" s="18" t="s">
        <v>851</v>
      </c>
      <c r="B12" s="8">
        <v>189.0</v>
      </c>
      <c r="C12" s="9">
        <v>7.5306733E7</v>
      </c>
      <c r="D12" s="9">
        <v>3.293844E7</v>
      </c>
      <c r="E12" s="10" t="str">
        <f>IF(C12&gt;percent,"YES","NO")</f>
        <v>YES</v>
      </c>
      <c r="F12" s="19">
        <v>50600.0</v>
      </c>
      <c r="G12" s="12" t="str">
        <f t="shared" si="2"/>
        <v>FUNDED</v>
      </c>
      <c r="H12" s="20">
        <f t="shared" si="3"/>
        <v>2419400</v>
      </c>
      <c r="I12" s="14" t="str">
        <f t="shared" si="1"/>
        <v/>
      </c>
    </row>
    <row r="13">
      <c r="A13" s="18" t="s">
        <v>852</v>
      </c>
      <c r="B13" s="8">
        <v>254.0</v>
      </c>
      <c r="C13" s="9">
        <v>7.4243455E7</v>
      </c>
      <c r="D13" s="9">
        <v>1.4728617E7</v>
      </c>
      <c r="E13" s="10" t="str">
        <f>IF(C13&gt;percent,"YES","NO")</f>
        <v>YES</v>
      </c>
      <c r="F13" s="19">
        <v>30000.0</v>
      </c>
      <c r="G13" s="12" t="str">
        <f t="shared" si="2"/>
        <v>FUNDED</v>
      </c>
      <c r="H13" s="20">
        <f t="shared" si="3"/>
        <v>2389400</v>
      </c>
      <c r="I13" s="14" t="str">
        <f t="shared" si="1"/>
        <v/>
      </c>
    </row>
    <row r="14">
      <c r="A14" s="18" t="s">
        <v>853</v>
      </c>
      <c r="B14" s="8">
        <v>188.0</v>
      </c>
      <c r="C14" s="9">
        <v>7.2221113E7</v>
      </c>
      <c r="D14" s="9">
        <v>8327301.0</v>
      </c>
      <c r="E14" s="10" t="str">
        <f>IF(C14&gt;percent,"YES","NO")</f>
        <v>YES</v>
      </c>
      <c r="F14" s="19">
        <v>60000.0</v>
      </c>
      <c r="G14" s="12" t="str">
        <f t="shared" si="2"/>
        <v>FUNDED</v>
      </c>
      <c r="H14" s="20">
        <f t="shared" si="3"/>
        <v>2329400</v>
      </c>
      <c r="I14" s="14" t="str">
        <f t="shared" si="1"/>
        <v/>
      </c>
    </row>
    <row r="15">
      <c r="A15" s="18" t="s">
        <v>854</v>
      </c>
      <c r="B15" s="8">
        <v>127.0</v>
      </c>
      <c r="C15" s="9">
        <v>7.1822866E7</v>
      </c>
      <c r="D15" s="9">
        <v>1.5647041E7</v>
      </c>
      <c r="E15" s="10" t="str">
        <f>IF(C15&gt;percent,"YES","NO")</f>
        <v>YES</v>
      </c>
      <c r="F15" s="19">
        <v>60000.0</v>
      </c>
      <c r="G15" s="12" t="str">
        <f t="shared" si="2"/>
        <v>FUNDED</v>
      </c>
      <c r="H15" s="20">
        <f t="shared" si="3"/>
        <v>2269400</v>
      </c>
      <c r="I15" s="14" t="str">
        <f t="shared" si="1"/>
        <v/>
      </c>
    </row>
    <row r="16">
      <c r="A16" s="18" t="s">
        <v>855</v>
      </c>
      <c r="B16" s="8">
        <v>231.0</v>
      </c>
      <c r="C16" s="9">
        <v>6.6235569E7</v>
      </c>
      <c r="D16" s="9">
        <v>3634904.0</v>
      </c>
      <c r="E16" s="10" t="str">
        <f>IF(C16&gt;percent,"YES","NO")</f>
        <v>YES</v>
      </c>
      <c r="F16" s="19">
        <v>30120.0</v>
      </c>
      <c r="G16" s="12" t="str">
        <f t="shared" si="2"/>
        <v>FUNDED</v>
      </c>
      <c r="H16" s="20">
        <f t="shared" si="3"/>
        <v>2239280</v>
      </c>
      <c r="I16" s="14" t="str">
        <f t="shared" si="1"/>
        <v/>
      </c>
    </row>
    <row r="17">
      <c r="A17" s="18" t="s">
        <v>856</v>
      </c>
      <c r="B17" s="8">
        <v>162.0</v>
      </c>
      <c r="C17" s="9">
        <v>6.3884808E7</v>
      </c>
      <c r="D17" s="9">
        <v>8395616.0</v>
      </c>
      <c r="E17" s="10" t="str">
        <f>IF(C17&gt;percent,"YES","NO")</f>
        <v>YES</v>
      </c>
      <c r="F17" s="19">
        <v>59475.0</v>
      </c>
      <c r="G17" s="12" t="str">
        <f t="shared" si="2"/>
        <v>FUNDED</v>
      </c>
      <c r="H17" s="20">
        <f t="shared" si="3"/>
        <v>2179805</v>
      </c>
      <c r="I17" s="14" t="str">
        <f t="shared" si="1"/>
        <v/>
      </c>
    </row>
    <row r="18">
      <c r="A18" s="18" t="s">
        <v>857</v>
      </c>
      <c r="B18" s="8">
        <v>126.0</v>
      </c>
      <c r="C18" s="9">
        <v>6.3392409E7</v>
      </c>
      <c r="D18" s="9">
        <v>8237852.0</v>
      </c>
      <c r="E18" s="10" t="str">
        <f>IF(C18&gt;percent,"YES","NO")</f>
        <v>YES</v>
      </c>
      <c r="F18" s="19">
        <v>48000.0</v>
      </c>
      <c r="G18" s="12" t="str">
        <f t="shared" si="2"/>
        <v>FUNDED</v>
      </c>
      <c r="H18" s="20">
        <f t="shared" si="3"/>
        <v>2131805</v>
      </c>
      <c r="I18" s="14" t="str">
        <f t="shared" si="1"/>
        <v/>
      </c>
    </row>
    <row r="19">
      <c r="A19" s="18" t="s">
        <v>858</v>
      </c>
      <c r="B19" s="8">
        <v>131.0</v>
      </c>
      <c r="C19" s="9">
        <v>6.3036901E7</v>
      </c>
      <c r="D19" s="9">
        <v>1.3052596E7</v>
      </c>
      <c r="E19" s="10" t="str">
        <f>IF(C19&gt;percent,"YES","NO")</f>
        <v>YES</v>
      </c>
      <c r="F19" s="19">
        <v>50000.0</v>
      </c>
      <c r="G19" s="12" t="str">
        <f t="shared" si="2"/>
        <v>FUNDED</v>
      </c>
      <c r="H19" s="20">
        <f t="shared" si="3"/>
        <v>2081805</v>
      </c>
      <c r="I19" s="14" t="str">
        <f t="shared" si="1"/>
        <v/>
      </c>
    </row>
    <row r="20">
      <c r="A20" s="18" t="s">
        <v>859</v>
      </c>
      <c r="B20" s="8">
        <v>140.0</v>
      </c>
      <c r="C20" s="9">
        <v>6.1370173E7</v>
      </c>
      <c r="D20" s="9">
        <v>8109689.0</v>
      </c>
      <c r="E20" s="10" t="str">
        <f>IF(C20&gt;percent,"YES","NO")</f>
        <v>YES</v>
      </c>
      <c r="F20" s="19">
        <v>43300.0</v>
      </c>
      <c r="G20" s="12" t="str">
        <f t="shared" si="2"/>
        <v>FUNDED</v>
      </c>
      <c r="H20" s="20">
        <f t="shared" si="3"/>
        <v>2038505</v>
      </c>
      <c r="I20" s="14" t="str">
        <f t="shared" si="1"/>
        <v/>
      </c>
    </row>
    <row r="21">
      <c r="A21" s="18" t="s">
        <v>860</v>
      </c>
      <c r="B21" s="8">
        <v>172.0</v>
      </c>
      <c r="C21" s="9">
        <v>6.0006769E7</v>
      </c>
      <c r="D21" s="9">
        <v>9629621.0</v>
      </c>
      <c r="E21" s="10" t="str">
        <f>IF(C21&gt;percent,"YES","NO")</f>
        <v>YES</v>
      </c>
      <c r="F21" s="19">
        <v>58650.0</v>
      </c>
      <c r="G21" s="12" t="str">
        <f t="shared" si="2"/>
        <v>FUNDED</v>
      </c>
      <c r="H21" s="20">
        <f t="shared" si="3"/>
        <v>1979855</v>
      </c>
      <c r="I21" s="14" t="str">
        <f t="shared" si="1"/>
        <v/>
      </c>
    </row>
    <row r="22">
      <c r="A22" s="18" t="s">
        <v>861</v>
      </c>
      <c r="B22" s="8">
        <v>129.0</v>
      </c>
      <c r="C22" s="9">
        <v>5.8983697E7</v>
      </c>
      <c r="D22" s="9">
        <v>8816978.0</v>
      </c>
      <c r="E22" s="10" t="str">
        <f>IF(C22&gt;percent,"YES","NO")</f>
        <v>YES</v>
      </c>
      <c r="F22" s="19">
        <v>46800.0</v>
      </c>
      <c r="G22" s="12" t="str">
        <f t="shared" si="2"/>
        <v>FUNDED</v>
      </c>
      <c r="H22" s="20">
        <f t="shared" si="3"/>
        <v>1933055</v>
      </c>
      <c r="I22" s="14" t="str">
        <f t="shared" si="1"/>
        <v/>
      </c>
    </row>
    <row r="23">
      <c r="A23" s="18" t="s">
        <v>862</v>
      </c>
      <c r="B23" s="8">
        <v>107.0</v>
      </c>
      <c r="C23" s="9">
        <v>5.6826201E7</v>
      </c>
      <c r="D23" s="9">
        <v>8505517.0</v>
      </c>
      <c r="E23" s="10" t="str">
        <f>IF(C23&gt;percent,"YES","NO")</f>
        <v>YES</v>
      </c>
      <c r="F23" s="19">
        <v>28000.0</v>
      </c>
      <c r="G23" s="12" t="str">
        <f t="shared" si="2"/>
        <v>FUNDED</v>
      </c>
      <c r="H23" s="20">
        <f t="shared" si="3"/>
        <v>1905055</v>
      </c>
      <c r="I23" s="14" t="str">
        <f t="shared" si="1"/>
        <v/>
      </c>
    </row>
    <row r="24">
      <c r="A24" s="18" t="s">
        <v>863</v>
      </c>
      <c r="B24" s="8">
        <v>137.0</v>
      </c>
      <c r="C24" s="9">
        <v>5.4240728E7</v>
      </c>
      <c r="D24" s="9">
        <v>7746975.0</v>
      </c>
      <c r="E24" s="10" t="str">
        <f>IF(C24&gt;percent,"YES","NO")</f>
        <v>YES</v>
      </c>
      <c r="F24" s="19">
        <v>44970.0</v>
      </c>
      <c r="G24" s="12" t="str">
        <f t="shared" si="2"/>
        <v>FUNDED</v>
      </c>
      <c r="H24" s="20">
        <f t="shared" si="3"/>
        <v>1860085</v>
      </c>
      <c r="I24" s="14" t="str">
        <f t="shared" si="1"/>
        <v/>
      </c>
    </row>
    <row r="25">
      <c r="A25" s="18" t="s">
        <v>864</v>
      </c>
      <c r="B25" s="8">
        <v>291.0</v>
      </c>
      <c r="C25" s="9">
        <v>5.4078109E7</v>
      </c>
      <c r="D25" s="9">
        <v>9806623.0</v>
      </c>
      <c r="E25" s="10" t="str">
        <f>IF(C25&gt;percent,"YES","NO")</f>
        <v>YES</v>
      </c>
      <c r="F25" s="19">
        <v>60000.0</v>
      </c>
      <c r="G25" s="12" t="str">
        <f t="shared" si="2"/>
        <v>FUNDED</v>
      </c>
      <c r="H25" s="20">
        <f t="shared" si="3"/>
        <v>1800085</v>
      </c>
      <c r="I25" s="14" t="str">
        <f t="shared" si="1"/>
        <v/>
      </c>
    </row>
    <row r="26">
      <c r="A26" s="21" t="s">
        <v>865</v>
      </c>
      <c r="B26" s="8">
        <v>123.0</v>
      </c>
      <c r="C26" s="9">
        <v>5.3534309E7</v>
      </c>
      <c r="D26" s="9">
        <v>6990315.0</v>
      </c>
      <c r="E26" s="10" t="str">
        <f>IF(C26&gt;percent,"YES","NO")</f>
        <v>YES</v>
      </c>
      <c r="F26" s="19">
        <v>50000.0</v>
      </c>
      <c r="G26" s="12" t="str">
        <f t="shared" si="2"/>
        <v>FUNDED</v>
      </c>
      <c r="H26" s="20">
        <f t="shared" si="3"/>
        <v>1750085</v>
      </c>
      <c r="I26" s="14" t="str">
        <f t="shared" si="1"/>
        <v/>
      </c>
    </row>
    <row r="27">
      <c r="A27" s="18" t="s">
        <v>866</v>
      </c>
      <c r="B27" s="8">
        <v>122.0</v>
      </c>
      <c r="C27" s="9">
        <v>5.1596129E7</v>
      </c>
      <c r="D27" s="9">
        <v>1.0790939E7</v>
      </c>
      <c r="E27" s="10" t="str">
        <f>IF(C27&gt;percent,"YES","NO")</f>
        <v>YES</v>
      </c>
      <c r="F27" s="19">
        <v>50000.0</v>
      </c>
      <c r="G27" s="12" t="str">
        <f t="shared" si="2"/>
        <v>FUNDED</v>
      </c>
      <c r="H27" s="20">
        <f t="shared" si="3"/>
        <v>1700085</v>
      </c>
      <c r="I27" s="14" t="str">
        <f t="shared" si="1"/>
        <v/>
      </c>
    </row>
    <row r="28">
      <c r="A28" s="18" t="s">
        <v>867</v>
      </c>
      <c r="B28" s="8">
        <v>172.0</v>
      </c>
      <c r="C28" s="9">
        <v>5.0783739E7</v>
      </c>
      <c r="D28" s="9">
        <v>1.4289019E7</v>
      </c>
      <c r="E28" s="10" t="str">
        <f>IF(C28&gt;percent,"YES","NO")</f>
        <v>YES</v>
      </c>
      <c r="F28" s="19">
        <v>60000.0</v>
      </c>
      <c r="G28" s="12" t="str">
        <f t="shared" si="2"/>
        <v>FUNDED</v>
      </c>
      <c r="H28" s="20">
        <f t="shared" si="3"/>
        <v>1640085</v>
      </c>
      <c r="I28" s="14" t="str">
        <f t="shared" si="1"/>
        <v/>
      </c>
    </row>
    <row r="29">
      <c r="A29" s="18" t="s">
        <v>868</v>
      </c>
      <c r="B29" s="8">
        <v>156.0</v>
      </c>
      <c r="C29" s="9">
        <v>4.9993656E7</v>
      </c>
      <c r="D29" s="9">
        <v>1.2030566E7</v>
      </c>
      <c r="E29" s="10" t="str">
        <f>IF(C29&gt;percent,"YES","NO")</f>
        <v>YES</v>
      </c>
      <c r="F29" s="19">
        <v>60000.0</v>
      </c>
      <c r="G29" s="12" t="str">
        <f t="shared" si="2"/>
        <v>FUNDED</v>
      </c>
      <c r="H29" s="20">
        <f t="shared" si="3"/>
        <v>1580085</v>
      </c>
      <c r="I29" s="14" t="str">
        <f t="shared" si="1"/>
        <v/>
      </c>
    </row>
    <row r="30">
      <c r="A30" s="18" t="s">
        <v>869</v>
      </c>
      <c r="B30" s="8">
        <v>130.0</v>
      </c>
      <c r="C30" s="9">
        <v>4.7085694E7</v>
      </c>
      <c r="D30" s="9">
        <v>8011513.0</v>
      </c>
      <c r="E30" s="10" t="str">
        <f>IF(C30&gt;percent,"YES","NO")</f>
        <v>YES</v>
      </c>
      <c r="F30" s="19">
        <v>56380.0</v>
      </c>
      <c r="G30" s="12" t="str">
        <f t="shared" si="2"/>
        <v>FUNDED</v>
      </c>
      <c r="H30" s="20">
        <f t="shared" si="3"/>
        <v>1523705</v>
      </c>
      <c r="I30" s="14" t="str">
        <f t="shared" si="1"/>
        <v/>
      </c>
    </row>
    <row r="31">
      <c r="A31" s="18" t="s">
        <v>870</v>
      </c>
      <c r="B31" s="8">
        <v>152.0</v>
      </c>
      <c r="C31" s="9">
        <v>4.6427969E7</v>
      </c>
      <c r="D31" s="9">
        <v>2.5412841E7</v>
      </c>
      <c r="E31" s="10" t="str">
        <f>IF(C31&gt;percent,"YES","NO")</f>
        <v>YES</v>
      </c>
      <c r="F31" s="19">
        <v>59375.0</v>
      </c>
      <c r="G31" s="12" t="str">
        <f t="shared" si="2"/>
        <v>FUNDED</v>
      </c>
      <c r="H31" s="20">
        <f t="shared" si="3"/>
        <v>1464330</v>
      </c>
      <c r="I31" s="14" t="str">
        <f t="shared" si="1"/>
        <v/>
      </c>
    </row>
    <row r="32">
      <c r="A32" s="18" t="s">
        <v>871</v>
      </c>
      <c r="B32" s="8">
        <v>232.0</v>
      </c>
      <c r="C32" s="9">
        <v>4.6008968E7</v>
      </c>
      <c r="D32" s="9">
        <v>2.9382501E7</v>
      </c>
      <c r="E32" s="10" t="str">
        <f>IF(C32&gt;percent,"YES","NO")</f>
        <v>YES</v>
      </c>
      <c r="F32" s="19">
        <v>60000.0</v>
      </c>
      <c r="G32" s="12" t="str">
        <f t="shared" si="2"/>
        <v>FUNDED</v>
      </c>
      <c r="H32" s="20">
        <f t="shared" si="3"/>
        <v>1404330</v>
      </c>
      <c r="I32" s="14" t="str">
        <f t="shared" si="1"/>
        <v/>
      </c>
    </row>
    <row r="33">
      <c r="A33" s="18" t="s">
        <v>872</v>
      </c>
      <c r="B33" s="8">
        <v>196.0</v>
      </c>
      <c r="C33" s="9">
        <v>4.5559774E7</v>
      </c>
      <c r="D33" s="9">
        <v>6937888.0</v>
      </c>
      <c r="E33" s="10" t="str">
        <f>IF(C33&gt;percent,"YES","NO")</f>
        <v>YES</v>
      </c>
      <c r="F33" s="19">
        <v>58000.0</v>
      </c>
      <c r="G33" s="12" t="str">
        <f t="shared" si="2"/>
        <v>FUNDED</v>
      </c>
      <c r="H33" s="20">
        <f t="shared" si="3"/>
        <v>1346330</v>
      </c>
      <c r="I33" s="14" t="str">
        <f t="shared" si="1"/>
        <v/>
      </c>
    </row>
    <row r="34">
      <c r="A34" s="18" t="s">
        <v>873</v>
      </c>
      <c r="B34" s="8">
        <v>199.0</v>
      </c>
      <c r="C34" s="9">
        <v>4.5291239E7</v>
      </c>
      <c r="D34" s="9">
        <v>3.1558151E7</v>
      </c>
      <c r="E34" s="10" t="str">
        <f>IF(C34&gt;percent,"YES","NO")</f>
        <v>YES</v>
      </c>
      <c r="F34" s="19">
        <v>17540.0</v>
      </c>
      <c r="G34" s="12" t="str">
        <f t="shared" si="2"/>
        <v>FUNDED</v>
      </c>
      <c r="H34" s="20">
        <f t="shared" si="3"/>
        <v>1328790</v>
      </c>
      <c r="I34" s="14" t="str">
        <f t="shared" si="1"/>
        <v/>
      </c>
    </row>
    <row r="35">
      <c r="A35" s="18" t="s">
        <v>874</v>
      </c>
      <c r="B35" s="8">
        <v>167.0</v>
      </c>
      <c r="C35" s="9">
        <v>4.4925537E7</v>
      </c>
      <c r="D35" s="9">
        <v>3505536.0</v>
      </c>
      <c r="E35" s="10" t="str">
        <f>IF(C35&gt;percent,"YES","NO")</f>
        <v>YES</v>
      </c>
      <c r="F35" s="19">
        <v>42600.0</v>
      </c>
      <c r="G35" s="12" t="str">
        <f t="shared" si="2"/>
        <v>FUNDED</v>
      </c>
      <c r="H35" s="20">
        <f t="shared" si="3"/>
        <v>1286190</v>
      </c>
      <c r="I35" s="14" t="str">
        <f t="shared" si="1"/>
        <v/>
      </c>
    </row>
    <row r="36">
      <c r="A36" s="18" t="s">
        <v>875</v>
      </c>
      <c r="B36" s="8">
        <v>210.0</v>
      </c>
      <c r="C36" s="9">
        <v>4.3585534E7</v>
      </c>
      <c r="D36" s="9">
        <v>1.3066173E7</v>
      </c>
      <c r="E36" s="10" t="str">
        <f>IF(C36&gt;percent,"YES","NO")</f>
        <v>NO</v>
      </c>
      <c r="F36" s="19">
        <v>30400.0</v>
      </c>
      <c r="G36" s="12" t="str">
        <f t="shared" si="2"/>
        <v>NOT FUNDED</v>
      </c>
      <c r="H36" s="20">
        <f t="shared" si="3"/>
        <v>1286190</v>
      </c>
      <c r="I36" s="14" t="str">
        <f t="shared" si="1"/>
        <v>Approval Threshold</v>
      </c>
    </row>
    <row r="37">
      <c r="A37" s="18" t="s">
        <v>876</v>
      </c>
      <c r="B37" s="8">
        <v>153.0</v>
      </c>
      <c r="C37" s="9">
        <v>4.3527297E7</v>
      </c>
      <c r="D37" s="9">
        <v>1.1521474E7</v>
      </c>
      <c r="E37" s="10" t="str">
        <f>IF(C37&gt;percent,"YES","NO")</f>
        <v>NO</v>
      </c>
      <c r="F37" s="19">
        <v>60000.0</v>
      </c>
      <c r="G37" s="12" t="str">
        <f t="shared" si="2"/>
        <v>NOT FUNDED</v>
      </c>
      <c r="H37" s="20">
        <f t="shared" si="3"/>
        <v>1286190</v>
      </c>
      <c r="I37" s="14" t="str">
        <f t="shared" si="1"/>
        <v>Approval Threshold</v>
      </c>
    </row>
    <row r="38">
      <c r="A38" s="18" t="s">
        <v>877</v>
      </c>
      <c r="B38" s="8">
        <v>161.0</v>
      </c>
      <c r="C38" s="9">
        <v>4.3450171E7</v>
      </c>
      <c r="D38" s="9">
        <v>6894554.0</v>
      </c>
      <c r="E38" s="10" t="str">
        <f>IF(C38&gt;percent,"YES","NO")</f>
        <v>NO</v>
      </c>
      <c r="F38" s="19">
        <v>30000.0</v>
      </c>
      <c r="G38" s="12" t="str">
        <f t="shared" si="2"/>
        <v>NOT FUNDED</v>
      </c>
      <c r="H38" s="20">
        <f t="shared" si="3"/>
        <v>1286190</v>
      </c>
      <c r="I38" s="14" t="str">
        <f t="shared" si="1"/>
        <v>Approval Threshold</v>
      </c>
    </row>
    <row r="39">
      <c r="A39" s="18" t="s">
        <v>878</v>
      </c>
      <c r="B39" s="8">
        <v>153.0</v>
      </c>
      <c r="C39" s="9">
        <v>4.3385006E7</v>
      </c>
      <c r="D39" s="9">
        <v>1.3379481E7</v>
      </c>
      <c r="E39" s="10" t="str">
        <f>IF(C39&gt;percent,"YES","NO")</f>
        <v>NO</v>
      </c>
      <c r="F39" s="19">
        <v>60000.0</v>
      </c>
      <c r="G39" s="12" t="str">
        <f t="shared" si="2"/>
        <v>NOT FUNDED</v>
      </c>
      <c r="H39" s="20">
        <f t="shared" si="3"/>
        <v>1286190</v>
      </c>
      <c r="I39" s="14" t="str">
        <f t="shared" si="1"/>
        <v>Approval Threshold</v>
      </c>
    </row>
    <row r="40">
      <c r="A40" s="18" t="s">
        <v>879</v>
      </c>
      <c r="B40" s="8">
        <v>276.0</v>
      </c>
      <c r="C40" s="9">
        <v>4.1764145E7</v>
      </c>
      <c r="D40" s="9">
        <v>1.318894E7</v>
      </c>
      <c r="E40" s="10" t="str">
        <f>IF(C40&gt;percent,"YES","NO")</f>
        <v>NO</v>
      </c>
      <c r="F40" s="19">
        <v>35000.0</v>
      </c>
      <c r="G40" s="12" t="str">
        <f t="shared" si="2"/>
        <v>NOT FUNDED</v>
      </c>
      <c r="H40" s="20">
        <f t="shared" si="3"/>
        <v>1286190</v>
      </c>
      <c r="I40" s="14" t="str">
        <f t="shared" si="1"/>
        <v>Approval Threshold</v>
      </c>
    </row>
    <row r="41">
      <c r="A41" s="18" t="s">
        <v>880</v>
      </c>
      <c r="B41" s="8">
        <v>184.0</v>
      </c>
      <c r="C41" s="9">
        <v>4.1637322E7</v>
      </c>
      <c r="D41" s="9">
        <v>1.0468687E7</v>
      </c>
      <c r="E41" s="10" t="str">
        <f>IF(C41&gt;percent,"YES","NO")</f>
        <v>NO</v>
      </c>
      <c r="F41" s="19">
        <v>60000.0</v>
      </c>
      <c r="G41" s="12" t="str">
        <f t="shared" si="2"/>
        <v>NOT FUNDED</v>
      </c>
      <c r="H41" s="20">
        <f t="shared" si="3"/>
        <v>1286190</v>
      </c>
      <c r="I41" s="14" t="str">
        <f t="shared" si="1"/>
        <v>Approval Threshold</v>
      </c>
    </row>
    <row r="42">
      <c r="A42" s="18" t="s">
        <v>881</v>
      </c>
      <c r="B42" s="8">
        <v>180.0</v>
      </c>
      <c r="C42" s="9">
        <v>4.096708E7</v>
      </c>
      <c r="D42" s="9">
        <v>8771363.0</v>
      </c>
      <c r="E42" s="10" t="str">
        <f>IF(C42&gt;percent,"YES","NO")</f>
        <v>NO</v>
      </c>
      <c r="F42" s="19">
        <v>24720.0</v>
      </c>
      <c r="G42" s="12" t="str">
        <f t="shared" si="2"/>
        <v>NOT FUNDED</v>
      </c>
      <c r="H42" s="20">
        <f t="shared" si="3"/>
        <v>1286190</v>
      </c>
      <c r="I42" s="14" t="str">
        <f t="shared" si="1"/>
        <v>Approval Threshold</v>
      </c>
    </row>
    <row r="43">
      <c r="A43" s="18" t="s">
        <v>882</v>
      </c>
      <c r="B43" s="8">
        <v>178.0</v>
      </c>
      <c r="C43" s="9">
        <v>4.0347561E7</v>
      </c>
      <c r="D43" s="9">
        <v>7250696.0</v>
      </c>
      <c r="E43" s="10" t="str">
        <f>IF(C43&gt;percent,"YES","NO")</f>
        <v>NO</v>
      </c>
      <c r="F43" s="19">
        <v>34140.0</v>
      </c>
      <c r="G43" s="12" t="str">
        <f t="shared" si="2"/>
        <v>NOT FUNDED</v>
      </c>
      <c r="H43" s="20">
        <f t="shared" si="3"/>
        <v>1286190</v>
      </c>
      <c r="I43" s="14" t="str">
        <f t="shared" si="1"/>
        <v>Approval Threshold</v>
      </c>
    </row>
    <row r="44">
      <c r="A44" s="18" t="s">
        <v>883</v>
      </c>
      <c r="B44" s="8">
        <v>170.0</v>
      </c>
      <c r="C44" s="9">
        <v>4.0152824E7</v>
      </c>
      <c r="D44" s="9">
        <v>8815650.0</v>
      </c>
      <c r="E44" s="10" t="str">
        <f>IF(C44&gt;percent,"YES","NO")</f>
        <v>NO</v>
      </c>
      <c r="F44" s="19">
        <v>25470.0</v>
      </c>
      <c r="G44" s="12" t="str">
        <f t="shared" si="2"/>
        <v>NOT FUNDED</v>
      </c>
      <c r="H44" s="20">
        <f t="shared" si="3"/>
        <v>1286190</v>
      </c>
      <c r="I44" s="14" t="str">
        <f t="shared" si="1"/>
        <v>Approval Threshold</v>
      </c>
    </row>
    <row r="45">
      <c r="A45" s="18" t="s">
        <v>884</v>
      </c>
      <c r="B45" s="22">
        <v>180.0</v>
      </c>
      <c r="C45" s="9">
        <v>4.0067872E7</v>
      </c>
      <c r="D45" s="9">
        <v>3.4410695E7</v>
      </c>
      <c r="E45" s="10" t="str">
        <f>IF(C45&gt;percent,"YES","NO")</f>
        <v>NO</v>
      </c>
      <c r="F45" s="19">
        <v>60000.0</v>
      </c>
      <c r="G45" s="12" t="str">
        <f t="shared" si="2"/>
        <v>NOT FUNDED</v>
      </c>
      <c r="H45" s="20">
        <f t="shared" si="3"/>
        <v>1286190</v>
      </c>
      <c r="I45" s="14" t="str">
        <f t="shared" si="1"/>
        <v>Approval Threshold</v>
      </c>
    </row>
    <row r="46">
      <c r="A46" s="18" t="s">
        <v>885</v>
      </c>
      <c r="B46" s="22">
        <v>174.0</v>
      </c>
      <c r="C46" s="9">
        <v>3.9980023E7</v>
      </c>
      <c r="D46" s="9">
        <v>2.8754483E7</v>
      </c>
      <c r="E46" s="10" t="str">
        <f>IF(C46&gt;percent,"YES","NO")</f>
        <v>NO</v>
      </c>
      <c r="F46" s="19">
        <v>30000.0</v>
      </c>
      <c r="G46" s="12" t="str">
        <f t="shared" si="2"/>
        <v>NOT FUNDED</v>
      </c>
      <c r="H46" s="20">
        <f t="shared" si="3"/>
        <v>1286190</v>
      </c>
      <c r="I46" s="14" t="str">
        <f t="shared" si="1"/>
        <v>Approval Threshold</v>
      </c>
    </row>
    <row r="47">
      <c r="A47" s="18" t="s">
        <v>886</v>
      </c>
      <c r="B47" s="22">
        <v>164.0</v>
      </c>
      <c r="C47" s="9">
        <v>3.9722232E7</v>
      </c>
      <c r="D47" s="9">
        <v>7505368.0</v>
      </c>
      <c r="E47" s="10" t="str">
        <f>IF(C47&gt;percent,"YES","NO")</f>
        <v>NO</v>
      </c>
      <c r="F47" s="19">
        <v>59920.0</v>
      </c>
      <c r="G47" s="12" t="str">
        <f t="shared" si="2"/>
        <v>NOT FUNDED</v>
      </c>
      <c r="H47" s="20">
        <f t="shared" si="3"/>
        <v>1286190</v>
      </c>
      <c r="I47" s="14" t="str">
        <f t="shared" si="1"/>
        <v>Approval Threshold</v>
      </c>
    </row>
    <row r="48">
      <c r="A48" s="18" t="s">
        <v>887</v>
      </c>
      <c r="B48" s="22">
        <v>253.0</v>
      </c>
      <c r="C48" s="9">
        <v>3.8422932E7</v>
      </c>
      <c r="D48" s="9">
        <v>3.3908528E7</v>
      </c>
      <c r="E48" s="10" t="str">
        <f>IF(C48&gt;percent,"YES","NO")</f>
        <v>NO</v>
      </c>
      <c r="F48" s="19">
        <v>56732.0</v>
      </c>
      <c r="G48" s="12" t="str">
        <f t="shared" si="2"/>
        <v>NOT FUNDED</v>
      </c>
      <c r="H48" s="20">
        <f t="shared" si="3"/>
        <v>1286190</v>
      </c>
      <c r="I48" s="14" t="str">
        <f t="shared" si="1"/>
        <v>Approval Threshold</v>
      </c>
    </row>
    <row r="49">
      <c r="A49" s="18" t="s">
        <v>888</v>
      </c>
      <c r="B49" s="22">
        <v>117.0</v>
      </c>
      <c r="C49" s="9">
        <v>3.7626047E7</v>
      </c>
      <c r="D49" s="9">
        <v>8349863.0</v>
      </c>
      <c r="E49" s="10" t="str">
        <f>IF(C49&gt;percent,"YES","NO")</f>
        <v>NO</v>
      </c>
      <c r="F49" s="19">
        <v>19200.0</v>
      </c>
      <c r="G49" s="12" t="str">
        <f t="shared" si="2"/>
        <v>NOT FUNDED</v>
      </c>
      <c r="H49" s="20">
        <f t="shared" si="3"/>
        <v>1286190</v>
      </c>
      <c r="I49" s="14" t="str">
        <f t="shared" si="1"/>
        <v>Approval Threshold</v>
      </c>
    </row>
    <row r="50">
      <c r="A50" s="18" t="s">
        <v>889</v>
      </c>
      <c r="B50" s="22">
        <v>145.0</v>
      </c>
      <c r="C50" s="9">
        <v>3.5907487E7</v>
      </c>
      <c r="D50" s="9">
        <v>1.3126312E7</v>
      </c>
      <c r="E50" s="10" t="str">
        <f>IF(C50&gt;percent,"YES","NO")</f>
        <v>NO</v>
      </c>
      <c r="F50" s="19">
        <v>60000.0</v>
      </c>
      <c r="G50" s="12" t="str">
        <f t="shared" si="2"/>
        <v>NOT FUNDED</v>
      </c>
      <c r="H50" s="20">
        <f t="shared" si="3"/>
        <v>1286190</v>
      </c>
      <c r="I50" s="14" t="str">
        <f t="shared" si="1"/>
        <v>Approval Threshold</v>
      </c>
    </row>
    <row r="51">
      <c r="A51" s="18" t="s">
        <v>890</v>
      </c>
      <c r="B51" s="22">
        <v>285.0</v>
      </c>
      <c r="C51" s="9">
        <v>3.5812727E7</v>
      </c>
      <c r="D51" s="9">
        <v>1.2766766E7</v>
      </c>
      <c r="E51" s="10" t="str">
        <f>IF(C51&gt;percent,"YES","NO")</f>
        <v>NO</v>
      </c>
      <c r="F51" s="19">
        <v>17500.0</v>
      </c>
      <c r="G51" s="12" t="str">
        <f t="shared" si="2"/>
        <v>NOT FUNDED</v>
      </c>
      <c r="H51" s="20">
        <f t="shared" si="3"/>
        <v>1286190</v>
      </c>
      <c r="I51" s="14" t="str">
        <f t="shared" si="1"/>
        <v>Approval Threshold</v>
      </c>
    </row>
    <row r="52">
      <c r="A52" s="18" t="s">
        <v>891</v>
      </c>
      <c r="B52" s="22">
        <v>166.0</v>
      </c>
      <c r="C52" s="9">
        <v>3.4685602E7</v>
      </c>
      <c r="D52" s="9">
        <v>8601849.0</v>
      </c>
      <c r="E52" s="10" t="str">
        <f>IF(C52&gt;percent,"YES","NO")</f>
        <v>NO</v>
      </c>
      <c r="F52" s="19">
        <v>48000.0</v>
      </c>
      <c r="G52" s="12" t="str">
        <f t="shared" si="2"/>
        <v>NOT FUNDED</v>
      </c>
      <c r="H52" s="20">
        <f t="shared" si="3"/>
        <v>1286190</v>
      </c>
      <c r="I52" s="14" t="str">
        <f t="shared" si="1"/>
        <v>Approval Threshold</v>
      </c>
    </row>
    <row r="53">
      <c r="A53" s="18" t="s">
        <v>892</v>
      </c>
      <c r="B53" s="22">
        <v>179.0</v>
      </c>
      <c r="C53" s="9">
        <v>3.3588029E7</v>
      </c>
      <c r="D53" s="9">
        <v>1.1503266E7</v>
      </c>
      <c r="E53" s="10" t="str">
        <f>IF(C53&gt;percent,"YES","NO")</f>
        <v>NO</v>
      </c>
      <c r="F53" s="19">
        <v>21000.0</v>
      </c>
      <c r="G53" s="12" t="str">
        <f t="shared" si="2"/>
        <v>NOT FUNDED</v>
      </c>
      <c r="H53" s="20">
        <f t="shared" si="3"/>
        <v>1286190</v>
      </c>
      <c r="I53" s="14" t="str">
        <f t="shared" si="1"/>
        <v>Approval Threshold</v>
      </c>
    </row>
    <row r="54">
      <c r="A54" s="18" t="s">
        <v>893</v>
      </c>
      <c r="B54" s="22">
        <v>122.0</v>
      </c>
      <c r="C54" s="9">
        <v>3.2936459E7</v>
      </c>
      <c r="D54" s="9">
        <v>9235606.0</v>
      </c>
      <c r="E54" s="10" t="str">
        <f>IF(C54&gt;percent,"YES","NO")</f>
        <v>NO</v>
      </c>
      <c r="F54" s="19">
        <v>59500.0</v>
      </c>
      <c r="G54" s="12" t="str">
        <f t="shared" si="2"/>
        <v>NOT FUNDED</v>
      </c>
      <c r="H54" s="20">
        <f t="shared" si="3"/>
        <v>1286190</v>
      </c>
      <c r="I54" s="14" t="str">
        <f t="shared" si="1"/>
        <v>Approval Threshold</v>
      </c>
    </row>
    <row r="55">
      <c r="A55" s="18" t="s">
        <v>894</v>
      </c>
      <c r="B55" s="22">
        <v>183.0</v>
      </c>
      <c r="C55" s="9">
        <v>3.2245626E7</v>
      </c>
      <c r="D55" s="9">
        <v>9420329.0</v>
      </c>
      <c r="E55" s="10" t="str">
        <f>IF(C55&gt;percent,"YES","NO")</f>
        <v>NO</v>
      </c>
      <c r="F55" s="19">
        <v>42800.0</v>
      </c>
      <c r="G55" s="12" t="str">
        <f t="shared" si="2"/>
        <v>NOT FUNDED</v>
      </c>
      <c r="H55" s="20">
        <f t="shared" si="3"/>
        <v>1286190</v>
      </c>
      <c r="I55" s="14" t="str">
        <f t="shared" si="1"/>
        <v>Approval Threshold</v>
      </c>
    </row>
    <row r="56">
      <c r="A56" s="18" t="s">
        <v>895</v>
      </c>
      <c r="B56" s="22">
        <v>158.0</v>
      </c>
      <c r="C56" s="9">
        <v>3.1986868E7</v>
      </c>
      <c r="D56" s="9">
        <v>1.3345895E7</v>
      </c>
      <c r="E56" s="10" t="str">
        <f>IF(C56&gt;percent,"YES","NO")</f>
        <v>NO</v>
      </c>
      <c r="F56" s="19">
        <v>60000.0</v>
      </c>
      <c r="G56" s="12" t="str">
        <f t="shared" si="2"/>
        <v>NOT FUNDED</v>
      </c>
      <c r="H56" s="20">
        <f t="shared" si="3"/>
        <v>1286190</v>
      </c>
      <c r="I56" s="14" t="str">
        <f t="shared" si="1"/>
        <v>Approval Threshold</v>
      </c>
    </row>
    <row r="57">
      <c r="A57" s="18" t="s">
        <v>896</v>
      </c>
      <c r="B57" s="22">
        <v>142.0</v>
      </c>
      <c r="C57" s="9">
        <v>3.1874248E7</v>
      </c>
      <c r="D57" s="9">
        <v>1.2181503E7</v>
      </c>
      <c r="E57" s="10" t="str">
        <f>IF(C57&gt;percent,"YES","NO")</f>
        <v>NO</v>
      </c>
      <c r="F57" s="19">
        <v>60000.0</v>
      </c>
      <c r="G57" s="12" t="str">
        <f t="shared" si="2"/>
        <v>NOT FUNDED</v>
      </c>
      <c r="H57" s="20">
        <f t="shared" si="3"/>
        <v>1286190</v>
      </c>
      <c r="I57" s="14" t="str">
        <f t="shared" si="1"/>
        <v>Approval Threshold</v>
      </c>
    </row>
    <row r="58">
      <c r="A58" s="18" t="s">
        <v>897</v>
      </c>
      <c r="B58" s="22">
        <v>178.0</v>
      </c>
      <c r="C58" s="9">
        <v>3.0842145E7</v>
      </c>
      <c r="D58" s="9">
        <v>1.2242404E7</v>
      </c>
      <c r="E58" s="10" t="str">
        <f>IF(C58&gt;percent,"YES","NO")</f>
        <v>NO</v>
      </c>
      <c r="F58" s="19">
        <v>60000.0</v>
      </c>
      <c r="G58" s="12" t="str">
        <f t="shared" si="2"/>
        <v>NOT FUNDED</v>
      </c>
      <c r="H58" s="20">
        <f t="shared" si="3"/>
        <v>1286190</v>
      </c>
      <c r="I58" s="14" t="str">
        <f t="shared" si="1"/>
        <v>Approval Threshold</v>
      </c>
    </row>
    <row r="59">
      <c r="A59" s="18" t="s">
        <v>898</v>
      </c>
      <c r="B59" s="22">
        <v>166.0</v>
      </c>
      <c r="C59" s="9">
        <v>3.0687023E7</v>
      </c>
      <c r="D59" s="9">
        <v>6713131.0</v>
      </c>
      <c r="E59" s="10" t="str">
        <f>IF(C59&gt;percent,"YES","NO")</f>
        <v>NO</v>
      </c>
      <c r="F59" s="19">
        <v>15000.0</v>
      </c>
      <c r="G59" s="12" t="str">
        <f t="shared" si="2"/>
        <v>NOT FUNDED</v>
      </c>
      <c r="H59" s="20">
        <f t="shared" si="3"/>
        <v>1286190</v>
      </c>
      <c r="I59" s="14" t="str">
        <f t="shared" si="1"/>
        <v>Approval Threshold</v>
      </c>
    </row>
    <row r="60">
      <c r="A60" s="18" t="s">
        <v>899</v>
      </c>
      <c r="B60" s="22">
        <v>205.0</v>
      </c>
      <c r="C60" s="9">
        <v>3.0507693E7</v>
      </c>
      <c r="D60" s="9">
        <v>1.1424495E7</v>
      </c>
      <c r="E60" s="10" t="str">
        <f>IF(C60&gt;percent,"YES","NO")</f>
        <v>NO</v>
      </c>
      <c r="F60" s="19">
        <v>60000.0</v>
      </c>
      <c r="G60" s="12" t="str">
        <f t="shared" si="2"/>
        <v>NOT FUNDED</v>
      </c>
      <c r="H60" s="20">
        <f t="shared" si="3"/>
        <v>1286190</v>
      </c>
      <c r="I60" s="14" t="str">
        <f t="shared" si="1"/>
        <v>Approval Threshold</v>
      </c>
    </row>
    <row r="61">
      <c r="A61" s="18" t="s">
        <v>900</v>
      </c>
      <c r="B61" s="22">
        <v>131.0</v>
      </c>
      <c r="C61" s="9">
        <v>2.9097498E7</v>
      </c>
      <c r="D61" s="9">
        <v>4375225.0</v>
      </c>
      <c r="E61" s="10" t="str">
        <f>IF(C61&gt;percent,"YES","NO")</f>
        <v>NO</v>
      </c>
      <c r="F61" s="19">
        <v>32300.0</v>
      </c>
      <c r="G61" s="12" t="str">
        <f t="shared" si="2"/>
        <v>NOT FUNDED</v>
      </c>
      <c r="H61" s="20">
        <f t="shared" si="3"/>
        <v>1286190</v>
      </c>
      <c r="I61" s="14" t="str">
        <f t="shared" si="1"/>
        <v>Approval Threshold</v>
      </c>
    </row>
    <row r="62">
      <c r="A62" s="18" t="s">
        <v>901</v>
      </c>
      <c r="B62" s="22">
        <v>160.0</v>
      </c>
      <c r="C62" s="9">
        <v>2.860389E7</v>
      </c>
      <c r="D62" s="9">
        <v>2.145503E7</v>
      </c>
      <c r="E62" s="10" t="str">
        <f>IF(C62&gt;percent,"YES","NO")</f>
        <v>NO</v>
      </c>
      <c r="F62" s="19">
        <v>39875.0</v>
      </c>
      <c r="G62" s="12" t="str">
        <f t="shared" si="2"/>
        <v>NOT FUNDED</v>
      </c>
      <c r="H62" s="20">
        <f t="shared" si="3"/>
        <v>1286190</v>
      </c>
      <c r="I62" s="14" t="str">
        <f t="shared" si="1"/>
        <v>Approval Threshold</v>
      </c>
    </row>
    <row r="63">
      <c r="A63" s="18" t="s">
        <v>902</v>
      </c>
      <c r="B63" s="22">
        <v>148.0</v>
      </c>
      <c r="C63" s="9">
        <v>2.8266601E7</v>
      </c>
      <c r="D63" s="9">
        <v>8693193.0</v>
      </c>
      <c r="E63" s="10" t="str">
        <f>IF(C63&gt;percent,"YES","NO")</f>
        <v>NO</v>
      </c>
      <c r="F63" s="19">
        <v>15000.0</v>
      </c>
      <c r="G63" s="12" t="str">
        <f t="shared" si="2"/>
        <v>NOT FUNDED</v>
      </c>
      <c r="H63" s="20">
        <f t="shared" si="3"/>
        <v>1286190</v>
      </c>
      <c r="I63" s="14" t="str">
        <f t="shared" si="1"/>
        <v>Approval Threshold</v>
      </c>
    </row>
    <row r="64">
      <c r="A64" s="18" t="s">
        <v>903</v>
      </c>
      <c r="B64" s="22">
        <v>137.0</v>
      </c>
      <c r="C64" s="9">
        <v>2.8080406E7</v>
      </c>
      <c r="D64" s="9">
        <v>1.3710493E7</v>
      </c>
      <c r="E64" s="10" t="str">
        <f>IF(C64&gt;percent,"YES","NO")</f>
        <v>NO</v>
      </c>
      <c r="F64" s="19">
        <v>60000.0</v>
      </c>
      <c r="G64" s="12" t="str">
        <f t="shared" si="2"/>
        <v>NOT FUNDED</v>
      </c>
      <c r="H64" s="20">
        <f t="shared" si="3"/>
        <v>1286190</v>
      </c>
      <c r="I64" s="14" t="str">
        <f t="shared" si="1"/>
        <v>Approval Threshold</v>
      </c>
    </row>
    <row r="65">
      <c r="A65" s="18" t="s">
        <v>904</v>
      </c>
      <c r="B65" s="22">
        <v>168.0</v>
      </c>
      <c r="C65" s="9">
        <v>2.7703148E7</v>
      </c>
      <c r="D65" s="9">
        <v>1.2418051E7</v>
      </c>
      <c r="E65" s="10" t="str">
        <f>IF(C65&gt;percent,"YES","NO")</f>
        <v>NO</v>
      </c>
      <c r="F65" s="19">
        <v>50000.0</v>
      </c>
      <c r="G65" s="12" t="str">
        <f t="shared" si="2"/>
        <v>NOT FUNDED</v>
      </c>
      <c r="H65" s="20">
        <f t="shared" si="3"/>
        <v>1286190</v>
      </c>
      <c r="I65" s="14" t="str">
        <f t="shared" si="1"/>
        <v>Approval Threshold</v>
      </c>
    </row>
    <row r="66">
      <c r="A66" s="18" t="s">
        <v>905</v>
      </c>
      <c r="B66" s="22">
        <v>262.0</v>
      </c>
      <c r="C66" s="9">
        <v>2.7083928E7</v>
      </c>
      <c r="D66" s="9">
        <v>9993008.0</v>
      </c>
      <c r="E66" s="10" t="str">
        <f>IF(C66&gt;percent,"YES","NO")</f>
        <v>NO</v>
      </c>
      <c r="F66" s="19">
        <v>17940.0</v>
      </c>
      <c r="G66" s="12" t="str">
        <f t="shared" si="2"/>
        <v>NOT FUNDED</v>
      </c>
      <c r="H66" s="20">
        <f t="shared" si="3"/>
        <v>1286190</v>
      </c>
      <c r="I66" s="14" t="str">
        <f t="shared" si="1"/>
        <v>Approval Threshold</v>
      </c>
    </row>
    <row r="67">
      <c r="A67" s="18" t="s">
        <v>906</v>
      </c>
      <c r="B67" s="22">
        <v>112.0</v>
      </c>
      <c r="C67" s="9">
        <v>2.7083302E7</v>
      </c>
      <c r="D67" s="9">
        <v>1.1343141E7</v>
      </c>
      <c r="E67" s="10" t="str">
        <f>IF(C67&gt;percent,"YES","NO")</f>
        <v>NO</v>
      </c>
      <c r="F67" s="19">
        <v>60000.0</v>
      </c>
      <c r="G67" s="12" t="str">
        <f t="shared" si="2"/>
        <v>NOT FUNDED</v>
      </c>
      <c r="H67" s="20">
        <f t="shared" si="3"/>
        <v>1286190</v>
      </c>
      <c r="I67" s="14" t="str">
        <f t="shared" si="1"/>
        <v>Approval Threshold</v>
      </c>
    </row>
    <row r="68">
      <c r="A68" s="18" t="s">
        <v>907</v>
      </c>
      <c r="B68" s="22">
        <v>138.0</v>
      </c>
      <c r="C68" s="9">
        <v>2.6975679E7</v>
      </c>
      <c r="D68" s="9">
        <v>1.3391093E7</v>
      </c>
      <c r="E68" s="10" t="str">
        <f>IF(C68&gt;percent,"YES","NO")</f>
        <v>NO</v>
      </c>
      <c r="F68" s="19">
        <v>60000.0</v>
      </c>
      <c r="G68" s="12" t="str">
        <f t="shared" si="2"/>
        <v>NOT FUNDED</v>
      </c>
      <c r="H68" s="20">
        <f t="shared" si="3"/>
        <v>1286190</v>
      </c>
      <c r="I68" s="14" t="str">
        <f t="shared" si="1"/>
        <v>Approval Threshold</v>
      </c>
    </row>
    <row r="69">
      <c r="A69" s="18" t="s">
        <v>908</v>
      </c>
      <c r="B69" s="22">
        <v>205.0</v>
      </c>
      <c r="C69" s="9">
        <v>2.6576132E7</v>
      </c>
      <c r="D69" s="9">
        <v>9825684.0</v>
      </c>
      <c r="E69" s="10" t="str">
        <f>IF(C69&gt;percent,"YES","NO")</f>
        <v>NO</v>
      </c>
      <c r="F69" s="19">
        <v>60000.0</v>
      </c>
      <c r="G69" s="12" t="str">
        <f t="shared" si="2"/>
        <v>NOT FUNDED</v>
      </c>
      <c r="H69" s="20">
        <f t="shared" si="3"/>
        <v>1286190</v>
      </c>
      <c r="I69" s="14" t="str">
        <f t="shared" si="1"/>
        <v>Approval Threshold</v>
      </c>
    </row>
    <row r="70">
      <c r="A70" s="18" t="s">
        <v>909</v>
      </c>
      <c r="B70" s="22">
        <v>154.0</v>
      </c>
      <c r="C70" s="9">
        <v>2.6173566E7</v>
      </c>
      <c r="D70" s="9">
        <v>8454269.0</v>
      </c>
      <c r="E70" s="10" t="str">
        <f>IF(C70&gt;percent,"YES","NO")</f>
        <v>NO</v>
      </c>
      <c r="F70" s="19">
        <v>58000.0</v>
      </c>
      <c r="G70" s="12" t="str">
        <f t="shared" si="2"/>
        <v>NOT FUNDED</v>
      </c>
      <c r="H70" s="20">
        <f t="shared" si="3"/>
        <v>1286190</v>
      </c>
      <c r="I70" s="14" t="str">
        <f t="shared" si="1"/>
        <v>Approval Threshold</v>
      </c>
    </row>
    <row r="71">
      <c r="A71" s="18" t="s">
        <v>910</v>
      </c>
      <c r="B71" s="22">
        <v>248.0</v>
      </c>
      <c r="C71" s="9">
        <v>2.5789764E7</v>
      </c>
      <c r="D71" s="9">
        <v>7658521.0</v>
      </c>
      <c r="E71" s="10" t="str">
        <f>IF(C71&gt;percent,"YES","NO")</f>
        <v>NO</v>
      </c>
      <c r="F71" s="19">
        <v>28500.0</v>
      </c>
      <c r="G71" s="12" t="str">
        <f t="shared" si="2"/>
        <v>NOT FUNDED</v>
      </c>
      <c r="H71" s="20">
        <f t="shared" si="3"/>
        <v>1286190</v>
      </c>
      <c r="I71" s="14" t="str">
        <f t="shared" si="1"/>
        <v>Approval Threshold</v>
      </c>
    </row>
    <row r="72">
      <c r="A72" s="18" t="s">
        <v>911</v>
      </c>
      <c r="B72" s="22">
        <v>101.0</v>
      </c>
      <c r="C72" s="9">
        <v>2.5784907E7</v>
      </c>
      <c r="D72" s="9">
        <v>1.1626522E7</v>
      </c>
      <c r="E72" s="10" t="str">
        <f>IF(C72&gt;percent,"YES","NO")</f>
        <v>NO</v>
      </c>
      <c r="F72" s="19">
        <v>45000.0</v>
      </c>
      <c r="G72" s="12" t="str">
        <f t="shared" si="2"/>
        <v>NOT FUNDED</v>
      </c>
      <c r="H72" s="20">
        <f t="shared" si="3"/>
        <v>1286190</v>
      </c>
      <c r="I72" s="14" t="str">
        <f t="shared" si="1"/>
        <v>Approval Threshold</v>
      </c>
    </row>
    <row r="73">
      <c r="A73" s="18" t="s">
        <v>912</v>
      </c>
      <c r="B73" s="22">
        <v>95.0</v>
      </c>
      <c r="C73" s="9">
        <v>2.5746701E7</v>
      </c>
      <c r="D73" s="9">
        <v>6540907.0</v>
      </c>
      <c r="E73" s="10" t="str">
        <f>IF(C73&gt;percent,"YES","NO")</f>
        <v>NO</v>
      </c>
      <c r="F73" s="19">
        <v>55000.0</v>
      </c>
      <c r="G73" s="12" t="str">
        <f t="shared" si="2"/>
        <v>NOT FUNDED</v>
      </c>
      <c r="H73" s="20">
        <f t="shared" si="3"/>
        <v>1286190</v>
      </c>
      <c r="I73" s="14" t="str">
        <f t="shared" si="1"/>
        <v>Approval Threshold</v>
      </c>
    </row>
    <row r="74">
      <c r="A74" s="18" t="s">
        <v>913</v>
      </c>
      <c r="B74" s="22">
        <v>170.0</v>
      </c>
      <c r="C74" s="9">
        <v>2.5502097E7</v>
      </c>
      <c r="D74" s="9">
        <v>1.0473617E7</v>
      </c>
      <c r="E74" s="10" t="str">
        <f>IF(C74&gt;percent,"YES","NO")</f>
        <v>NO</v>
      </c>
      <c r="F74" s="19">
        <v>60000.0</v>
      </c>
      <c r="G74" s="12" t="str">
        <f t="shared" si="2"/>
        <v>NOT FUNDED</v>
      </c>
      <c r="H74" s="20">
        <f t="shared" si="3"/>
        <v>1286190</v>
      </c>
      <c r="I74" s="14" t="str">
        <f t="shared" si="1"/>
        <v>Approval Threshold</v>
      </c>
    </row>
    <row r="75">
      <c r="A75" s="18" t="s">
        <v>914</v>
      </c>
      <c r="B75" s="22">
        <v>141.0</v>
      </c>
      <c r="C75" s="9">
        <v>2.5265084E7</v>
      </c>
      <c r="D75" s="9">
        <v>7243321.0</v>
      </c>
      <c r="E75" s="10" t="str">
        <f>IF(C75&gt;percent,"YES","NO")</f>
        <v>NO</v>
      </c>
      <c r="F75" s="19">
        <v>58410.0</v>
      </c>
      <c r="G75" s="12" t="str">
        <f t="shared" si="2"/>
        <v>NOT FUNDED</v>
      </c>
      <c r="H75" s="20">
        <f t="shared" si="3"/>
        <v>1286190</v>
      </c>
      <c r="I75" s="14" t="str">
        <f t="shared" si="1"/>
        <v>Approval Threshold</v>
      </c>
    </row>
    <row r="76">
      <c r="A76" s="18" t="s">
        <v>915</v>
      </c>
      <c r="B76" s="22">
        <v>180.0</v>
      </c>
      <c r="C76" s="9">
        <v>2.4614263E7</v>
      </c>
      <c r="D76" s="9">
        <v>8271331.0</v>
      </c>
      <c r="E76" s="10" t="str">
        <f>IF(C76&gt;percent,"YES","NO")</f>
        <v>NO</v>
      </c>
      <c r="F76" s="19">
        <v>18665.0</v>
      </c>
      <c r="G76" s="12" t="str">
        <f t="shared" si="2"/>
        <v>NOT FUNDED</v>
      </c>
      <c r="H76" s="20">
        <f t="shared" si="3"/>
        <v>1286190</v>
      </c>
      <c r="I76" s="14" t="str">
        <f t="shared" si="1"/>
        <v>Approval Threshold</v>
      </c>
    </row>
    <row r="77">
      <c r="A77" s="18" t="s">
        <v>916</v>
      </c>
      <c r="B77" s="22">
        <v>142.0</v>
      </c>
      <c r="C77" s="9">
        <v>2.438039E7</v>
      </c>
      <c r="D77" s="9">
        <v>1.7197164E7</v>
      </c>
      <c r="E77" s="10" t="str">
        <f>IF(C77&gt;percent,"YES","NO")</f>
        <v>NO</v>
      </c>
      <c r="F77" s="19">
        <v>17500.0</v>
      </c>
      <c r="G77" s="12" t="str">
        <f t="shared" si="2"/>
        <v>NOT FUNDED</v>
      </c>
      <c r="H77" s="20">
        <f t="shared" si="3"/>
        <v>1286190</v>
      </c>
      <c r="I77" s="14" t="str">
        <f t="shared" si="1"/>
        <v>Approval Threshold</v>
      </c>
    </row>
    <row r="78">
      <c r="A78" s="18" t="s">
        <v>917</v>
      </c>
      <c r="B78" s="22">
        <v>148.0</v>
      </c>
      <c r="C78" s="9">
        <v>2.4212395E7</v>
      </c>
      <c r="D78" s="9">
        <v>6621930.0</v>
      </c>
      <c r="E78" s="10" t="str">
        <f>IF(C78&gt;percent,"YES","NO")</f>
        <v>NO</v>
      </c>
      <c r="F78" s="19">
        <v>55000.0</v>
      </c>
      <c r="G78" s="12" t="str">
        <f t="shared" si="2"/>
        <v>NOT FUNDED</v>
      </c>
      <c r="H78" s="20">
        <f t="shared" si="3"/>
        <v>1286190</v>
      </c>
      <c r="I78" s="14" t="str">
        <f t="shared" si="1"/>
        <v>Approval Threshold</v>
      </c>
    </row>
    <row r="79">
      <c r="A79" s="18" t="s">
        <v>918</v>
      </c>
      <c r="B79" s="22">
        <v>152.0</v>
      </c>
      <c r="C79" s="9">
        <v>2.4096505E7</v>
      </c>
      <c r="D79" s="9">
        <v>6635626.0</v>
      </c>
      <c r="E79" s="10" t="str">
        <f>IF(C79&gt;percent,"YES","NO")</f>
        <v>NO</v>
      </c>
      <c r="F79" s="19">
        <v>55000.0</v>
      </c>
      <c r="G79" s="12" t="str">
        <f t="shared" si="2"/>
        <v>NOT FUNDED</v>
      </c>
      <c r="H79" s="20">
        <f t="shared" si="3"/>
        <v>1286190</v>
      </c>
      <c r="I79" s="14" t="str">
        <f t="shared" si="1"/>
        <v>Approval Threshold</v>
      </c>
    </row>
    <row r="80">
      <c r="A80" s="18" t="s">
        <v>919</v>
      </c>
      <c r="B80" s="22">
        <v>158.0</v>
      </c>
      <c r="C80" s="9">
        <v>2.3962753E7</v>
      </c>
      <c r="D80" s="9">
        <v>5340057.0</v>
      </c>
      <c r="E80" s="10" t="str">
        <f>IF(C80&gt;percent,"YES","NO")</f>
        <v>NO</v>
      </c>
      <c r="F80" s="19">
        <v>17480.0</v>
      </c>
      <c r="G80" s="12" t="str">
        <f t="shared" si="2"/>
        <v>NOT FUNDED</v>
      </c>
      <c r="H80" s="20">
        <f t="shared" si="3"/>
        <v>1286190</v>
      </c>
      <c r="I80" s="14" t="str">
        <f t="shared" si="1"/>
        <v>Approval Threshold</v>
      </c>
    </row>
    <row r="81">
      <c r="A81" s="18" t="s">
        <v>920</v>
      </c>
      <c r="B81" s="22">
        <v>132.0</v>
      </c>
      <c r="C81" s="9">
        <v>2.3845821E7</v>
      </c>
      <c r="D81" s="9">
        <v>1.315222E7</v>
      </c>
      <c r="E81" s="10" t="str">
        <f>IF(C81&gt;percent,"YES","NO")</f>
        <v>NO</v>
      </c>
      <c r="F81" s="19">
        <v>60000.0</v>
      </c>
      <c r="G81" s="12" t="str">
        <f t="shared" si="2"/>
        <v>NOT FUNDED</v>
      </c>
      <c r="H81" s="20">
        <f t="shared" si="3"/>
        <v>1286190</v>
      </c>
      <c r="I81" s="14" t="str">
        <f t="shared" si="1"/>
        <v>Approval Threshold</v>
      </c>
    </row>
    <row r="82">
      <c r="A82" s="18" t="s">
        <v>921</v>
      </c>
      <c r="B82" s="22">
        <v>148.0</v>
      </c>
      <c r="C82" s="9">
        <v>2.3831537E7</v>
      </c>
      <c r="D82" s="9">
        <v>1.0657002E7</v>
      </c>
      <c r="E82" s="10" t="str">
        <f>IF(C82&gt;percent,"YES","NO")</f>
        <v>NO</v>
      </c>
      <c r="F82" s="19">
        <v>60000.0</v>
      </c>
      <c r="G82" s="12" t="str">
        <f t="shared" si="2"/>
        <v>NOT FUNDED</v>
      </c>
      <c r="H82" s="20">
        <f t="shared" si="3"/>
        <v>1286190</v>
      </c>
      <c r="I82" s="14" t="str">
        <f t="shared" si="1"/>
        <v>Approval Threshold</v>
      </c>
    </row>
    <row r="83">
      <c r="A83" s="18" t="s">
        <v>922</v>
      </c>
      <c r="B83" s="22">
        <v>135.0</v>
      </c>
      <c r="C83" s="9">
        <v>2.3569853E7</v>
      </c>
      <c r="D83" s="9">
        <v>1.2833034E7</v>
      </c>
      <c r="E83" s="10" t="str">
        <f>IF(C83&gt;percent,"YES","NO")</f>
        <v>NO</v>
      </c>
      <c r="F83" s="19">
        <v>60000.0</v>
      </c>
      <c r="G83" s="12" t="str">
        <f t="shared" si="2"/>
        <v>NOT FUNDED</v>
      </c>
      <c r="H83" s="20">
        <f t="shared" si="3"/>
        <v>1286190</v>
      </c>
      <c r="I83" s="14" t="str">
        <f t="shared" si="1"/>
        <v>Approval Threshold</v>
      </c>
    </row>
    <row r="84">
      <c r="A84" s="18" t="s">
        <v>923</v>
      </c>
      <c r="B84" s="22">
        <v>157.0</v>
      </c>
      <c r="C84" s="9">
        <v>2.3505784E7</v>
      </c>
      <c r="D84" s="9">
        <v>9777051.0</v>
      </c>
      <c r="E84" s="10" t="str">
        <f>IF(C84&gt;percent,"YES","NO")</f>
        <v>NO</v>
      </c>
      <c r="F84" s="19">
        <v>60000.0</v>
      </c>
      <c r="G84" s="12" t="str">
        <f t="shared" si="2"/>
        <v>NOT FUNDED</v>
      </c>
      <c r="H84" s="20">
        <f t="shared" si="3"/>
        <v>1286190</v>
      </c>
      <c r="I84" s="14" t="str">
        <f t="shared" si="1"/>
        <v>Approval Threshold</v>
      </c>
    </row>
    <row r="85">
      <c r="A85" s="18" t="s">
        <v>924</v>
      </c>
      <c r="B85" s="22">
        <v>139.0</v>
      </c>
      <c r="C85" s="9">
        <v>2.3413787E7</v>
      </c>
      <c r="D85" s="9">
        <v>8636501.0</v>
      </c>
      <c r="E85" s="10" t="str">
        <f>IF(C85&gt;percent,"YES","NO")</f>
        <v>NO</v>
      </c>
      <c r="F85" s="19">
        <v>50000.0</v>
      </c>
      <c r="G85" s="12" t="str">
        <f t="shared" si="2"/>
        <v>NOT FUNDED</v>
      </c>
      <c r="H85" s="20">
        <f t="shared" si="3"/>
        <v>1286190</v>
      </c>
      <c r="I85" s="14" t="str">
        <f t="shared" si="1"/>
        <v>Approval Threshold</v>
      </c>
    </row>
    <row r="86">
      <c r="A86" s="18" t="s">
        <v>925</v>
      </c>
      <c r="B86" s="22">
        <v>93.0</v>
      </c>
      <c r="C86" s="9">
        <v>2.3371732E7</v>
      </c>
      <c r="D86" s="9">
        <v>1.3031456E7</v>
      </c>
      <c r="E86" s="10" t="str">
        <f>IF(C86&gt;percent,"YES","NO")</f>
        <v>NO</v>
      </c>
      <c r="F86" s="19">
        <v>30000.0</v>
      </c>
      <c r="G86" s="12" t="str">
        <f t="shared" si="2"/>
        <v>NOT FUNDED</v>
      </c>
      <c r="H86" s="20">
        <f t="shared" si="3"/>
        <v>1286190</v>
      </c>
      <c r="I86" s="14" t="str">
        <f t="shared" si="1"/>
        <v>Approval Threshold</v>
      </c>
    </row>
    <row r="87">
      <c r="A87" s="18" t="s">
        <v>926</v>
      </c>
      <c r="B87" s="22">
        <v>166.0</v>
      </c>
      <c r="C87" s="9">
        <v>2.3295515E7</v>
      </c>
      <c r="D87" s="9">
        <v>1.2538635E7</v>
      </c>
      <c r="E87" s="10" t="str">
        <f>IF(C87&gt;percent,"YES","NO")</f>
        <v>NO</v>
      </c>
      <c r="F87" s="19">
        <v>60000.0</v>
      </c>
      <c r="G87" s="12" t="str">
        <f t="shared" si="2"/>
        <v>NOT FUNDED</v>
      </c>
      <c r="H87" s="20">
        <f t="shared" si="3"/>
        <v>1286190</v>
      </c>
      <c r="I87" s="14" t="str">
        <f t="shared" si="1"/>
        <v>Approval Threshold</v>
      </c>
    </row>
    <row r="88">
      <c r="A88" s="18" t="s">
        <v>927</v>
      </c>
      <c r="B88" s="22">
        <v>177.0</v>
      </c>
      <c r="C88" s="9">
        <v>2.3170888E7</v>
      </c>
      <c r="D88" s="9">
        <v>5958252.0</v>
      </c>
      <c r="E88" s="10" t="str">
        <f>IF(C88&gt;percent,"YES","NO")</f>
        <v>NO</v>
      </c>
      <c r="F88" s="19">
        <v>45000.0</v>
      </c>
      <c r="G88" s="12" t="str">
        <f t="shared" si="2"/>
        <v>NOT FUNDED</v>
      </c>
      <c r="H88" s="20">
        <f t="shared" si="3"/>
        <v>1286190</v>
      </c>
      <c r="I88" s="14" t="str">
        <f t="shared" si="1"/>
        <v>Approval Threshold</v>
      </c>
    </row>
    <row r="89">
      <c r="A89" s="18" t="s">
        <v>928</v>
      </c>
      <c r="B89" s="22">
        <v>101.0</v>
      </c>
      <c r="C89" s="9">
        <v>2.3098203E7</v>
      </c>
      <c r="D89" s="9">
        <v>8672274.0</v>
      </c>
      <c r="E89" s="10" t="str">
        <f>IF(C89&gt;percent,"YES","NO")</f>
        <v>NO</v>
      </c>
      <c r="F89" s="19">
        <v>16500.0</v>
      </c>
      <c r="G89" s="12" t="str">
        <f t="shared" si="2"/>
        <v>NOT FUNDED</v>
      </c>
      <c r="H89" s="20">
        <f t="shared" si="3"/>
        <v>1286190</v>
      </c>
      <c r="I89" s="14" t="str">
        <f t="shared" si="1"/>
        <v>Approval Threshold</v>
      </c>
    </row>
    <row r="90">
      <c r="A90" s="18" t="s">
        <v>929</v>
      </c>
      <c r="B90" s="22">
        <v>140.0</v>
      </c>
      <c r="C90" s="9">
        <v>2.3074088E7</v>
      </c>
      <c r="D90" s="9">
        <v>1.0411278E7</v>
      </c>
      <c r="E90" s="10" t="str">
        <f>IF(C90&gt;percent,"YES","NO")</f>
        <v>NO</v>
      </c>
      <c r="F90" s="19">
        <v>60000.0</v>
      </c>
      <c r="G90" s="12" t="str">
        <f t="shared" si="2"/>
        <v>NOT FUNDED</v>
      </c>
      <c r="H90" s="20">
        <f t="shared" si="3"/>
        <v>1286190</v>
      </c>
      <c r="I90" s="14" t="str">
        <f t="shared" si="1"/>
        <v>Approval Threshold</v>
      </c>
    </row>
    <row r="91">
      <c r="A91" s="18" t="s">
        <v>930</v>
      </c>
      <c r="B91" s="22">
        <v>128.0</v>
      </c>
      <c r="C91" s="9">
        <v>2.2882342E7</v>
      </c>
      <c r="D91" s="9">
        <v>1.469418E7</v>
      </c>
      <c r="E91" s="10" t="str">
        <f>IF(C91&gt;percent,"YES","NO")</f>
        <v>NO</v>
      </c>
      <c r="F91" s="19">
        <v>33000.0</v>
      </c>
      <c r="G91" s="12" t="str">
        <f t="shared" si="2"/>
        <v>NOT FUNDED</v>
      </c>
      <c r="H91" s="20">
        <f t="shared" si="3"/>
        <v>1286190</v>
      </c>
      <c r="I91" s="14" t="str">
        <f t="shared" si="1"/>
        <v>Approval Threshold</v>
      </c>
    </row>
    <row r="92">
      <c r="A92" s="18" t="s">
        <v>931</v>
      </c>
      <c r="B92" s="22">
        <v>159.0</v>
      </c>
      <c r="C92" s="9">
        <v>2.2769793E7</v>
      </c>
      <c r="D92" s="9">
        <v>1.3408827E7</v>
      </c>
      <c r="E92" s="10" t="str">
        <f>IF(C92&gt;percent,"YES","NO")</f>
        <v>NO</v>
      </c>
      <c r="F92" s="19">
        <v>50560.0</v>
      </c>
      <c r="G92" s="12" t="str">
        <f t="shared" si="2"/>
        <v>NOT FUNDED</v>
      </c>
      <c r="H92" s="20">
        <f t="shared" si="3"/>
        <v>1286190</v>
      </c>
      <c r="I92" s="14" t="str">
        <f t="shared" si="1"/>
        <v>Approval Threshold</v>
      </c>
    </row>
    <row r="93">
      <c r="A93" s="18" t="s">
        <v>932</v>
      </c>
      <c r="B93" s="22">
        <v>114.0</v>
      </c>
      <c r="C93" s="9">
        <v>2.2638034E7</v>
      </c>
      <c r="D93" s="9">
        <v>2.6412122E7</v>
      </c>
      <c r="E93" s="10" t="str">
        <f>IF(C93&gt;percent,"YES","NO")</f>
        <v>NO</v>
      </c>
      <c r="F93" s="19">
        <v>60000.0</v>
      </c>
      <c r="G93" s="12" t="str">
        <f t="shared" si="2"/>
        <v>NOT FUNDED</v>
      </c>
      <c r="H93" s="20">
        <f t="shared" si="3"/>
        <v>1286190</v>
      </c>
      <c r="I93" s="14" t="str">
        <f t="shared" si="1"/>
        <v>Approval Threshold</v>
      </c>
    </row>
    <row r="94">
      <c r="A94" s="18" t="s">
        <v>933</v>
      </c>
      <c r="B94" s="22">
        <v>178.0</v>
      </c>
      <c r="C94" s="9">
        <v>2.2581628E7</v>
      </c>
      <c r="D94" s="9">
        <v>7942220.0</v>
      </c>
      <c r="E94" s="10" t="str">
        <f>IF(C94&gt;percent,"YES","NO")</f>
        <v>NO</v>
      </c>
      <c r="F94" s="19">
        <v>54000.0</v>
      </c>
      <c r="G94" s="12" t="str">
        <f t="shared" si="2"/>
        <v>NOT FUNDED</v>
      </c>
      <c r="H94" s="20">
        <f t="shared" si="3"/>
        <v>1286190</v>
      </c>
      <c r="I94" s="14" t="str">
        <f t="shared" si="1"/>
        <v>Approval Threshold</v>
      </c>
    </row>
    <row r="95">
      <c r="A95" s="18" t="s">
        <v>934</v>
      </c>
      <c r="B95" s="22">
        <v>109.0</v>
      </c>
      <c r="C95" s="9">
        <v>2.2473917E7</v>
      </c>
      <c r="D95" s="9">
        <v>2.4637384E7</v>
      </c>
      <c r="E95" s="10" t="str">
        <f>IF(C95&gt;percent,"YES","NO")</f>
        <v>NO</v>
      </c>
      <c r="F95" s="19">
        <v>59500.0</v>
      </c>
      <c r="G95" s="12" t="str">
        <f t="shared" si="2"/>
        <v>NOT FUNDED</v>
      </c>
      <c r="H95" s="20">
        <f t="shared" si="3"/>
        <v>1286190</v>
      </c>
      <c r="I95" s="14" t="str">
        <f t="shared" si="1"/>
        <v>Approval Threshold</v>
      </c>
    </row>
    <row r="96">
      <c r="A96" s="18" t="s">
        <v>935</v>
      </c>
      <c r="B96" s="22">
        <v>123.0</v>
      </c>
      <c r="C96" s="9">
        <v>2.2437538E7</v>
      </c>
      <c r="D96" s="9">
        <v>5019202.0</v>
      </c>
      <c r="E96" s="10" t="str">
        <f>IF(C96&gt;percent,"YES","NO")</f>
        <v>NO</v>
      </c>
      <c r="F96" s="19">
        <v>58000.0</v>
      </c>
      <c r="G96" s="12" t="str">
        <f t="shared" si="2"/>
        <v>NOT FUNDED</v>
      </c>
      <c r="H96" s="20">
        <f t="shared" si="3"/>
        <v>1286190</v>
      </c>
      <c r="I96" s="14" t="str">
        <f t="shared" si="1"/>
        <v>Approval Threshold</v>
      </c>
    </row>
    <row r="97">
      <c r="A97" s="18" t="s">
        <v>936</v>
      </c>
      <c r="B97" s="22">
        <v>121.0</v>
      </c>
      <c r="C97" s="9">
        <v>2.2409106E7</v>
      </c>
      <c r="D97" s="9">
        <v>1.20541E7</v>
      </c>
      <c r="E97" s="10" t="str">
        <f>IF(C97&gt;percent,"YES","NO")</f>
        <v>NO</v>
      </c>
      <c r="F97" s="19">
        <v>60000.0</v>
      </c>
      <c r="G97" s="12" t="str">
        <f t="shared" si="2"/>
        <v>NOT FUNDED</v>
      </c>
      <c r="H97" s="20">
        <f t="shared" si="3"/>
        <v>1286190</v>
      </c>
      <c r="I97" s="14" t="str">
        <f t="shared" si="1"/>
        <v>Approval Threshold</v>
      </c>
    </row>
    <row r="98">
      <c r="A98" s="18" t="s">
        <v>937</v>
      </c>
      <c r="B98" s="22">
        <v>132.0</v>
      </c>
      <c r="C98" s="9">
        <v>2.2143916E7</v>
      </c>
      <c r="D98" s="9">
        <v>1.2803139E7</v>
      </c>
      <c r="E98" s="10" t="str">
        <f>IF(C98&gt;percent,"YES","NO")</f>
        <v>NO</v>
      </c>
      <c r="F98" s="19">
        <v>50000.0</v>
      </c>
      <c r="G98" s="12" t="str">
        <f t="shared" si="2"/>
        <v>NOT FUNDED</v>
      </c>
      <c r="H98" s="20">
        <f t="shared" si="3"/>
        <v>1286190</v>
      </c>
      <c r="I98" s="14" t="str">
        <f t="shared" si="1"/>
        <v>Approval Threshold</v>
      </c>
    </row>
    <row r="99">
      <c r="A99" s="18" t="s">
        <v>938</v>
      </c>
      <c r="B99" s="22">
        <v>136.0</v>
      </c>
      <c r="C99" s="9">
        <v>2.2106591E7</v>
      </c>
      <c r="D99" s="9">
        <v>1.0544447E7</v>
      </c>
      <c r="E99" s="10" t="str">
        <f>IF(C99&gt;percent,"YES","NO")</f>
        <v>NO</v>
      </c>
      <c r="F99" s="19">
        <v>36700.0</v>
      </c>
      <c r="G99" s="12" t="str">
        <f t="shared" si="2"/>
        <v>NOT FUNDED</v>
      </c>
      <c r="H99" s="20">
        <f t="shared" si="3"/>
        <v>1286190</v>
      </c>
      <c r="I99" s="14" t="str">
        <f t="shared" si="1"/>
        <v>Approval Threshold</v>
      </c>
    </row>
    <row r="100">
      <c r="A100" s="18" t="s">
        <v>939</v>
      </c>
      <c r="B100" s="22">
        <v>121.0</v>
      </c>
      <c r="C100" s="9">
        <v>2.20907E7</v>
      </c>
      <c r="D100" s="9">
        <v>1.5283826E7</v>
      </c>
      <c r="E100" s="10" t="str">
        <f>IF(C100&gt;percent,"YES","NO")</f>
        <v>NO</v>
      </c>
      <c r="F100" s="19">
        <v>58000.0</v>
      </c>
      <c r="G100" s="12" t="str">
        <f t="shared" si="2"/>
        <v>NOT FUNDED</v>
      </c>
      <c r="H100" s="20">
        <f t="shared" si="3"/>
        <v>1286190</v>
      </c>
      <c r="I100" s="14" t="str">
        <f t="shared" si="1"/>
        <v>Approval Threshold</v>
      </c>
    </row>
    <row r="101">
      <c r="A101" s="18" t="s">
        <v>940</v>
      </c>
      <c r="B101" s="22">
        <v>98.0</v>
      </c>
      <c r="C101" s="9">
        <v>2.2073174E7</v>
      </c>
      <c r="D101" s="9">
        <v>9101795.0</v>
      </c>
      <c r="E101" s="10" t="str">
        <f>IF(C101&gt;percent,"YES","NO")</f>
        <v>NO</v>
      </c>
      <c r="F101" s="19">
        <v>59500.0</v>
      </c>
      <c r="G101" s="12" t="str">
        <f t="shared" si="2"/>
        <v>NOT FUNDED</v>
      </c>
      <c r="H101" s="20">
        <f t="shared" si="3"/>
        <v>1286190</v>
      </c>
      <c r="I101" s="14" t="str">
        <f t="shared" si="1"/>
        <v>Approval Threshold</v>
      </c>
    </row>
    <row r="102">
      <c r="A102" s="18" t="s">
        <v>941</v>
      </c>
      <c r="B102" s="22">
        <v>128.0</v>
      </c>
      <c r="C102" s="9">
        <v>2.1807333E7</v>
      </c>
      <c r="D102" s="9">
        <v>6405769.0</v>
      </c>
      <c r="E102" s="10" t="str">
        <f>IF(C102&gt;percent,"YES","NO")</f>
        <v>NO</v>
      </c>
      <c r="F102" s="19">
        <v>58560.0</v>
      </c>
      <c r="G102" s="12" t="str">
        <f t="shared" si="2"/>
        <v>NOT FUNDED</v>
      </c>
      <c r="H102" s="20">
        <f t="shared" si="3"/>
        <v>1286190</v>
      </c>
      <c r="I102" s="14" t="str">
        <f t="shared" si="1"/>
        <v>Approval Threshold</v>
      </c>
    </row>
    <row r="103">
      <c r="A103" s="18" t="s">
        <v>942</v>
      </c>
      <c r="B103" s="22">
        <v>146.0</v>
      </c>
      <c r="C103" s="9">
        <v>2.1737843E7</v>
      </c>
      <c r="D103" s="9">
        <v>8444862.0</v>
      </c>
      <c r="E103" s="10" t="str">
        <f>IF(C103&gt;percent,"YES","NO")</f>
        <v>NO</v>
      </c>
      <c r="F103" s="19">
        <v>30000.0</v>
      </c>
      <c r="G103" s="12" t="str">
        <f t="shared" si="2"/>
        <v>NOT FUNDED</v>
      </c>
      <c r="H103" s="20">
        <f t="shared" si="3"/>
        <v>1286190</v>
      </c>
      <c r="I103" s="14" t="str">
        <f t="shared" si="1"/>
        <v>Approval Threshold</v>
      </c>
    </row>
    <row r="104">
      <c r="A104" s="18" t="s">
        <v>943</v>
      </c>
      <c r="B104" s="22">
        <v>99.0</v>
      </c>
      <c r="C104" s="9">
        <v>2.1624052E7</v>
      </c>
      <c r="D104" s="9">
        <v>7564386.0</v>
      </c>
      <c r="E104" s="10" t="str">
        <f>IF(C104&gt;percent,"YES","NO")</f>
        <v>NO</v>
      </c>
      <c r="F104" s="19">
        <v>43550.0</v>
      </c>
      <c r="G104" s="12" t="str">
        <f t="shared" si="2"/>
        <v>NOT FUNDED</v>
      </c>
      <c r="H104" s="20">
        <f t="shared" si="3"/>
        <v>1286190</v>
      </c>
      <c r="I104" s="14" t="str">
        <f t="shared" si="1"/>
        <v>Approval Threshold</v>
      </c>
    </row>
    <row r="105">
      <c r="A105" s="18" t="s">
        <v>944</v>
      </c>
      <c r="B105" s="22">
        <v>105.0</v>
      </c>
      <c r="C105" s="9">
        <v>2.1478251E7</v>
      </c>
      <c r="D105" s="9">
        <v>1.1237503E7</v>
      </c>
      <c r="E105" s="10" t="str">
        <f>IF(C105&gt;percent,"YES","NO")</f>
        <v>NO</v>
      </c>
      <c r="F105" s="19">
        <v>50000.0</v>
      </c>
      <c r="G105" s="12" t="str">
        <f t="shared" si="2"/>
        <v>NOT FUNDED</v>
      </c>
      <c r="H105" s="20">
        <f t="shared" si="3"/>
        <v>1286190</v>
      </c>
      <c r="I105" s="14" t="str">
        <f t="shared" si="1"/>
        <v>Approval Threshold</v>
      </c>
    </row>
    <row r="106">
      <c r="A106" s="18" t="s">
        <v>945</v>
      </c>
      <c r="B106" s="22">
        <v>113.0</v>
      </c>
      <c r="C106" s="9">
        <v>2.1330724E7</v>
      </c>
      <c r="D106" s="9">
        <v>8458598.0</v>
      </c>
      <c r="E106" s="10" t="str">
        <f>IF(C106&gt;percent,"YES","NO")</f>
        <v>NO</v>
      </c>
      <c r="F106" s="19">
        <v>41794.0</v>
      </c>
      <c r="G106" s="12" t="str">
        <f t="shared" si="2"/>
        <v>NOT FUNDED</v>
      </c>
      <c r="H106" s="20">
        <f t="shared" si="3"/>
        <v>1286190</v>
      </c>
      <c r="I106" s="14" t="str">
        <f t="shared" si="1"/>
        <v>Approval Threshold</v>
      </c>
    </row>
    <row r="107">
      <c r="A107" s="18" t="s">
        <v>946</v>
      </c>
      <c r="B107" s="22">
        <v>118.0</v>
      </c>
      <c r="C107" s="9">
        <v>2.1177457E7</v>
      </c>
      <c r="D107" s="9">
        <v>1.5009432E7</v>
      </c>
      <c r="E107" s="10" t="str">
        <f>IF(C107&gt;percent,"YES","NO")</f>
        <v>NO</v>
      </c>
      <c r="F107" s="19">
        <v>60000.0</v>
      </c>
      <c r="G107" s="12" t="str">
        <f t="shared" si="2"/>
        <v>NOT FUNDED</v>
      </c>
      <c r="H107" s="20">
        <f t="shared" si="3"/>
        <v>1286190</v>
      </c>
      <c r="I107" s="14" t="str">
        <f t="shared" si="1"/>
        <v>Approval Threshold</v>
      </c>
    </row>
    <row r="108">
      <c r="A108" s="18" t="s">
        <v>947</v>
      </c>
      <c r="B108" s="22">
        <v>120.0</v>
      </c>
      <c r="C108" s="9">
        <v>2.1164926E7</v>
      </c>
      <c r="D108" s="9">
        <v>1.4980357E7</v>
      </c>
      <c r="E108" s="10" t="str">
        <f>IF(C108&gt;percent,"YES","NO")</f>
        <v>NO</v>
      </c>
      <c r="F108" s="19">
        <v>60000.0</v>
      </c>
      <c r="G108" s="12" t="str">
        <f t="shared" si="2"/>
        <v>NOT FUNDED</v>
      </c>
      <c r="H108" s="20">
        <f t="shared" si="3"/>
        <v>1286190</v>
      </c>
      <c r="I108" s="14" t="str">
        <f t="shared" si="1"/>
        <v>Approval Threshold</v>
      </c>
    </row>
    <row r="109">
      <c r="A109" s="18" t="s">
        <v>948</v>
      </c>
      <c r="B109" s="22">
        <v>101.0</v>
      </c>
      <c r="C109" s="9">
        <v>2.0860464E7</v>
      </c>
      <c r="D109" s="9">
        <v>9732996.0</v>
      </c>
      <c r="E109" s="10" t="str">
        <f>IF(C109&gt;percent,"YES","NO")</f>
        <v>NO</v>
      </c>
      <c r="F109" s="19">
        <v>25005.0</v>
      </c>
      <c r="G109" s="12" t="str">
        <f t="shared" si="2"/>
        <v>NOT FUNDED</v>
      </c>
      <c r="H109" s="20">
        <f t="shared" si="3"/>
        <v>1286190</v>
      </c>
      <c r="I109" s="14" t="str">
        <f t="shared" si="1"/>
        <v>Approval Threshold</v>
      </c>
    </row>
    <row r="110">
      <c r="A110" s="18" t="s">
        <v>949</v>
      </c>
      <c r="B110" s="22">
        <v>159.0</v>
      </c>
      <c r="C110" s="9">
        <v>2.054321E7</v>
      </c>
      <c r="D110" s="9">
        <v>7876931.0</v>
      </c>
      <c r="E110" s="10" t="str">
        <f>IF(C110&gt;percent,"YES","NO")</f>
        <v>NO</v>
      </c>
      <c r="F110" s="19">
        <v>29819.0</v>
      </c>
      <c r="G110" s="12" t="str">
        <f t="shared" si="2"/>
        <v>NOT FUNDED</v>
      </c>
      <c r="H110" s="20">
        <f t="shared" si="3"/>
        <v>1286190</v>
      </c>
      <c r="I110" s="14" t="str">
        <f t="shared" si="1"/>
        <v>Approval Threshold</v>
      </c>
    </row>
    <row r="111">
      <c r="A111" s="18" t="s">
        <v>950</v>
      </c>
      <c r="B111" s="22">
        <v>101.0</v>
      </c>
      <c r="C111" s="9">
        <v>2.0178512E7</v>
      </c>
      <c r="D111" s="9">
        <v>6952730.0</v>
      </c>
      <c r="E111" s="10" t="str">
        <f>IF(C111&gt;percent,"YES","NO")</f>
        <v>NO</v>
      </c>
      <c r="F111" s="19">
        <v>21050.0</v>
      </c>
      <c r="G111" s="12" t="str">
        <f t="shared" si="2"/>
        <v>NOT FUNDED</v>
      </c>
      <c r="H111" s="20">
        <f t="shared" si="3"/>
        <v>1286190</v>
      </c>
      <c r="I111" s="14" t="str">
        <f t="shared" si="1"/>
        <v>Approval Threshold</v>
      </c>
    </row>
    <row r="112">
      <c r="A112" s="18" t="s">
        <v>951</v>
      </c>
      <c r="B112" s="22">
        <v>116.0</v>
      </c>
      <c r="C112" s="9">
        <v>2.0125489E7</v>
      </c>
      <c r="D112" s="9">
        <v>1.158945E7</v>
      </c>
      <c r="E112" s="10" t="str">
        <f>IF(C112&gt;percent,"YES","NO")</f>
        <v>NO</v>
      </c>
      <c r="F112" s="19">
        <v>60000.0</v>
      </c>
      <c r="G112" s="12" t="str">
        <f t="shared" si="2"/>
        <v>NOT FUNDED</v>
      </c>
      <c r="H112" s="20">
        <f t="shared" si="3"/>
        <v>1286190</v>
      </c>
      <c r="I112" s="14" t="str">
        <f t="shared" si="1"/>
        <v>Approval Threshold</v>
      </c>
    </row>
    <row r="113">
      <c r="A113" s="18" t="s">
        <v>952</v>
      </c>
      <c r="B113" s="22">
        <v>184.0</v>
      </c>
      <c r="C113" s="9">
        <v>2.0027277E7</v>
      </c>
      <c r="D113" s="9">
        <v>6329056.0</v>
      </c>
      <c r="E113" s="10" t="str">
        <f>IF(C113&gt;percent,"YES","NO")</f>
        <v>NO</v>
      </c>
      <c r="F113" s="19">
        <v>49400.0</v>
      </c>
      <c r="G113" s="12" t="str">
        <f t="shared" si="2"/>
        <v>NOT FUNDED</v>
      </c>
      <c r="H113" s="20">
        <f t="shared" si="3"/>
        <v>1286190</v>
      </c>
      <c r="I113" s="14" t="str">
        <f t="shared" si="1"/>
        <v>Approval Threshold</v>
      </c>
    </row>
    <row r="114">
      <c r="A114" s="18" t="s">
        <v>953</v>
      </c>
      <c r="B114" s="22">
        <v>132.0</v>
      </c>
      <c r="C114" s="9">
        <v>2.0024486E7</v>
      </c>
      <c r="D114" s="9">
        <v>2.3789984E7</v>
      </c>
      <c r="E114" s="10" t="str">
        <f>IF(C114&gt;percent,"YES","NO")</f>
        <v>NO</v>
      </c>
      <c r="F114" s="19">
        <v>25000.0</v>
      </c>
      <c r="G114" s="12" t="str">
        <f t="shared" si="2"/>
        <v>NOT FUNDED</v>
      </c>
      <c r="H114" s="20">
        <f t="shared" si="3"/>
        <v>1286190</v>
      </c>
      <c r="I114" s="14" t="str">
        <f t="shared" si="1"/>
        <v>Approval Threshold</v>
      </c>
    </row>
    <row r="115">
      <c r="A115" s="18" t="s">
        <v>954</v>
      </c>
      <c r="B115" s="22">
        <v>105.0</v>
      </c>
      <c r="C115" s="9">
        <v>1.9942822E7</v>
      </c>
      <c r="D115" s="9">
        <v>8195012.0</v>
      </c>
      <c r="E115" s="10" t="str">
        <f>IF(C115&gt;percent,"YES","NO")</f>
        <v>NO</v>
      </c>
      <c r="F115" s="19">
        <v>29600.0</v>
      </c>
      <c r="G115" s="12" t="str">
        <f t="shared" si="2"/>
        <v>NOT FUNDED</v>
      </c>
      <c r="H115" s="20">
        <f t="shared" si="3"/>
        <v>1286190</v>
      </c>
      <c r="I115" s="14" t="str">
        <f t="shared" si="1"/>
        <v>Approval Threshold</v>
      </c>
    </row>
    <row r="116">
      <c r="A116" s="18" t="s">
        <v>955</v>
      </c>
      <c r="B116" s="22">
        <v>108.0</v>
      </c>
      <c r="C116" s="9">
        <v>1.9606035E7</v>
      </c>
      <c r="D116" s="9">
        <v>1.3760944E7</v>
      </c>
      <c r="E116" s="10" t="str">
        <f>IF(C116&gt;percent,"YES","NO")</f>
        <v>NO</v>
      </c>
      <c r="F116" s="19">
        <v>60000.0</v>
      </c>
      <c r="G116" s="12" t="str">
        <f t="shared" si="2"/>
        <v>NOT FUNDED</v>
      </c>
      <c r="H116" s="20">
        <f t="shared" si="3"/>
        <v>1286190</v>
      </c>
      <c r="I116" s="14" t="str">
        <f t="shared" si="1"/>
        <v>Approval Threshold</v>
      </c>
    </row>
    <row r="117">
      <c r="A117" s="18" t="s">
        <v>956</v>
      </c>
      <c r="B117" s="22">
        <v>171.0</v>
      </c>
      <c r="C117" s="9">
        <v>1.9460398E7</v>
      </c>
      <c r="D117" s="9">
        <v>2.4254023E7</v>
      </c>
      <c r="E117" s="10" t="str">
        <f>IF(C117&gt;percent,"YES","NO")</f>
        <v>NO</v>
      </c>
      <c r="F117" s="19">
        <v>54500.0</v>
      </c>
      <c r="G117" s="12" t="str">
        <f t="shared" si="2"/>
        <v>NOT FUNDED</v>
      </c>
      <c r="H117" s="20">
        <f t="shared" si="3"/>
        <v>1286190</v>
      </c>
      <c r="I117" s="14" t="str">
        <f t="shared" si="1"/>
        <v>Approval Threshold</v>
      </c>
    </row>
    <row r="118">
      <c r="A118" s="18" t="s">
        <v>957</v>
      </c>
      <c r="B118" s="22">
        <v>135.0</v>
      </c>
      <c r="C118" s="9">
        <v>1.9226654E7</v>
      </c>
      <c r="D118" s="9">
        <v>1.0754011E7</v>
      </c>
      <c r="E118" s="10" t="str">
        <f>IF(C118&gt;percent,"YES","NO")</f>
        <v>NO</v>
      </c>
      <c r="F118" s="19">
        <v>58000.0</v>
      </c>
      <c r="G118" s="12" t="str">
        <f t="shared" si="2"/>
        <v>NOT FUNDED</v>
      </c>
      <c r="H118" s="20">
        <f t="shared" si="3"/>
        <v>1286190</v>
      </c>
      <c r="I118" s="14" t="str">
        <f t="shared" si="1"/>
        <v>Approval Threshold</v>
      </c>
    </row>
    <row r="119">
      <c r="A119" s="18" t="s">
        <v>958</v>
      </c>
      <c r="B119" s="22">
        <v>108.0</v>
      </c>
      <c r="C119" s="9">
        <v>1.9215068E7</v>
      </c>
      <c r="D119" s="9">
        <v>1.2422904E7</v>
      </c>
      <c r="E119" s="10" t="str">
        <f>IF(C119&gt;percent,"YES","NO")</f>
        <v>NO</v>
      </c>
      <c r="F119" s="19">
        <v>58000.0</v>
      </c>
      <c r="G119" s="12" t="str">
        <f t="shared" si="2"/>
        <v>NOT FUNDED</v>
      </c>
      <c r="H119" s="20">
        <f t="shared" si="3"/>
        <v>1286190</v>
      </c>
      <c r="I119" s="14" t="str">
        <f t="shared" si="1"/>
        <v>Approval Threshold</v>
      </c>
    </row>
    <row r="120">
      <c r="A120" s="18" t="s">
        <v>959</v>
      </c>
      <c r="B120" s="22">
        <v>94.0</v>
      </c>
      <c r="C120" s="9">
        <v>1.904951E7</v>
      </c>
      <c r="D120" s="9">
        <v>1.5414115E7</v>
      </c>
      <c r="E120" s="10" t="str">
        <f>IF(C120&gt;percent,"YES","NO")</f>
        <v>NO</v>
      </c>
      <c r="F120" s="19">
        <v>46000.0</v>
      </c>
      <c r="G120" s="12" t="str">
        <f t="shared" si="2"/>
        <v>NOT FUNDED</v>
      </c>
      <c r="H120" s="20">
        <f t="shared" si="3"/>
        <v>1286190</v>
      </c>
      <c r="I120" s="14" t="str">
        <f t="shared" si="1"/>
        <v>Approval Threshold</v>
      </c>
    </row>
    <row r="121">
      <c r="A121" s="18" t="s">
        <v>960</v>
      </c>
      <c r="B121" s="22">
        <v>124.0</v>
      </c>
      <c r="C121" s="9">
        <v>1.8863073E7</v>
      </c>
      <c r="D121" s="9">
        <v>8288837.0</v>
      </c>
      <c r="E121" s="10" t="str">
        <f>IF(C121&gt;percent,"YES","NO")</f>
        <v>NO</v>
      </c>
      <c r="F121" s="19">
        <v>42000.0</v>
      </c>
      <c r="G121" s="12" t="str">
        <f t="shared" si="2"/>
        <v>NOT FUNDED</v>
      </c>
      <c r="H121" s="20">
        <f t="shared" si="3"/>
        <v>1286190</v>
      </c>
      <c r="I121" s="14" t="str">
        <f t="shared" si="1"/>
        <v>Approval Threshold</v>
      </c>
    </row>
    <row r="122">
      <c r="A122" s="18" t="s">
        <v>961</v>
      </c>
      <c r="B122" s="22">
        <v>129.0</v>
      </c>
      <c r="C122" s="9">
        <v>1.8834445E7</v>
      </c>
      <c r="D122" s="9">
        <v>1.1879696E7</v>
      </c>
      <c r="E122" s="10" t="str">
        <f>IF(C122&gt;percent,"YES","NO")</f>
        <v>NO</v>
      </c>
      <c r="F122" s="19">
        <v>30000.0</v>
      </c>
      <c r="G122" s="12" t="str">
        <f t="shared" si="2"/>
        <v>NOT FUNDED</v>
      </c>
      <c r="H122" s="20">
        <f t="shared" si="3"/>
        <v>1286190</v>
      </c>
      <c r="I122" s="14" t="str">
        <f t="shared" si="1"/>
        <v>Approval Threshold</v>
      </c>
    </row>
    <row r="123">
      <c r="A123" s="18" t="s">
        <v>962</v>
      </c>
      <c r="B123" s="22">
        <v>175.0</v>
      </c>
      <c r="C123" s="9">
        <v>1.8626486E7</v>
      </c>
      <c r="D123" s="9">
        <v>2.2480694E7</v>
      </c>
      <c r="E123" s="10" t="str">
        <f>IF(C123&gt;percent,"YES","NO")</f>
        <v>NO</v>
      </c>
      <c r="F123" s="19">
        <v>59834.0</v>
      </c>
      <c r="G123" s="12" t="str">
        <f t="shared" si="2"/>
        <v>NOT FUNDED</v>
      </c>
      <c r="H123" s="20">
        <f t="shared" si="3"/>
        <v>1286190</v>
      </c>
      <c r="I123" s="14" t="str">
        <f t="shared" si="1"/>
        <v>Approval Threshold</v>
      </c>
    </row>
    <row r="124">
      <c r="A124" s="18" t="s">
        <v>963</v>
      </c>
      <c r="B124" s="22">
        <v>107.0</v>
      </c>
      <c r="C124" s="9">
        <v>1.8466986E7</v>
      </c>
      <c r="D124" s="9">
        <v>1.834183E7</v>
      </c>
      <c r="E124" s="10" t="str">
        <f>IF(C124&gt;percent,"YES","NO")</f>
        <v>NO</v>
      </c>
      <c r="F124" s="19">
        <v>60000.0</v>
      </c>
      <c r="G124" s="12" t="str">
        <f t="shared" si="2"/>
        <v>NOT FUNDED</v>
      </c>
      <c r="H124" s="20">
        <f t="shared" si="3"/>
        <v>1286190</v>
      </c>
      <c r="I124" s="14" t="str">
        <f t="shared" si="1"/>
        <v>Approval Threshold</v>
      </c>
    </row>
    <row r="125">
      <c r="A125" s="18" t="s">
        <v>964</v>
      </c>
      <c r="B125" s="22">
        <v>118.0</v>
      </c>
      <c r="C125" s="9">
        <v>1.8368472E7</v>
      </c>
      <c r="D125" s="9">
        <v>1.5083217E7</v>
      </c>
      <c r="E125" s="10" t="str">
        <f>IF(C125&gt;percent,"YES","NO")</f>
        <v>NO</v>
      </c>
      <c r="F125" s="19">
        <v>39500.0</v>
      </c>
      <c r="G125" s="12" t="str">
        <f t="shared" si="2"/>
        <v>NOT FUNDED</v>
      </c>
      <c r="H125" s="20">
        <f t="shared" si="3"/>
        <v>1286190</v>
      </c>
      <c r="I125" s="14" t="str">
        <f t="shared" si="1"/>
        <v>Approval Threshold</v>
      </c>
    </row>
    <row r="126">
      <c r="A126" s="18" t="s">
        <v>965</v>
      </c>
      <c r="B126" s="22">
        <v>131.0</v>
      </c>
      <c r="C126" s="9">
        <v>1.8086111E7</v>
      </c>
      <c r="D126" s="9">
        <v>7812244.0</v>
      </c>
      <c r="E126" s="10" t="str">
        <f>IF(C126&gt;percent,"YES","NO")</f>
        <v>NO</v>
      </c>
      <c r="F126" s="19">
        <v>15952.0</v>
      </c>
      <c r="G126" s="12" t="str">
        <f t="shared" si="2"/>
        <v>NOT FUNDED</v>
      </c>
      <c r="H126" s="20">
        <f t="shared" si="3"/>
        <v>1286190</v>
      </c>
      <c r="I126" s="14" t="str">
        <f t="shared" si="1"/>
        <v>Approval Threshold</v>
      </c>
    </row>
    <row r="127">
      <c r="A127" s="18" t="s">
        <v>966</v>
      </c>
      <c r="B127" s="22">
        <v>115.0</v>
      </c>
      <c r="C127" s="9">
        <v>1.8028926E7</v>
      </c>
      <c r="D127" s="9">
        <v>1.4318395E7</v>
      </c>
      <c r="E127" s="10" t="str">
        <f>IF(C127&gt;percent,"YES","NO")</f>
        <v>NO</v>
      </c>
      <c r="F127" s="19">
        <v>60000.0</v>
      </c>
      <c r="G127" s="12" t="str">
        <f t="shared" si="2"/>
        <v>NOT FUNDED</v>
      </c>
      <c r="H127" s="20">
        <f t="shared" si="3"/>
        <v>1286190</v>
      </c>
      <c r="I127" s="14" t="str">
        <f t="shared" si="1"/>
        <v>Approval Threshold</v>
      </c>
    </row>
    <row r="128">
      <c r="A128" s="18" t="s">
        <v>967</v>
      </c>
      <c r="B128" s="22">
        <v>191.0</v>
      </c>
      <c r="C128" s="9">
        <v>1.8019891E7</v>
      </c>
      <c r="D128" s="9">
        <v>1.0230565E7</v>
      </c>
      <c r="E128" s="10" t="str">
        <f>IF(C128&gt;percent,"YES","NO")</f>
        <v>NO</v>
      </c>
      <c r="F128" s="19">
        <v>54000.0</v>
      </c>
      <c r="G128" s="12" t="str">
        <f t="shared" si="2"/>
        <v>NOT FUNDED</v>
      </c>
      <c r="H128" s="20">
        <f t="shared" si="3"/>
        <v>1286190</v>
      </c>
      <c r="I128" s="14" t="str">
        <f t="shared" si="1"/>
        <v>Approval Threshold</v>
      </c>
    </row>
    <row r="129">
      <c r="A129" s="18" t="s">
        <v>968</v>
      </c>
      <c r="B129" s="22">
        <v>97.0</v>
      </c>
      <c r="C129" s="9">
        <v>1.8016186E7</v>
      </c>
      <c r="D129" s="9">
        <v>1.0323356E7</v>
      </c>
      <c r="E129" s="10" t="str">
        <f>IF(C129&gt;percent,"YES","NO")</f>
        <v>NO</v>
      </c>
      <c r="F129" s="19">
        <v>54000.0</v>
      </c>
      <c r="G129" s="12" t="str">
        <f t="shared" si="2"/>
        <v>NOT FUNDED</v>
      </c>
      <c r="H129" s="20">
        <f t="shared" si="3"/>
        <v>1286190</v>
      </c>
      <c r="I129" s="14" t="str">
        <f t="shared" si="1"/>
        <v>Approval Threshold</v>
      </c>
    </row>
    <row r="130">
      <c r="A130" s="18" t="s">
        <v>969</v>
      </c>
      <c r="B130" s="22">
        <v>115.0</v>
      </c>
      <c r="C130" s="9">
        <v>1.7921133E7</v>
      </c>
      <c r="D130" s="9">
        <v>1.3635046E7</v>
      </c>
      <c r="E130" s="10" t="str">
        <f>IF(C130&gt;percent,"YES","NO")</f>
        <v>NO</v>
      </c>
      <c r="F130" s="19">
        <v>60000.0</v>
      </c>
      <c r="G130" s="12" t="str">
        <f t="shared" si="2"/>
        <v>NOT FUNDED</v>
      </c>
      <c r="H130" s="20">
        <f t="shared" si="3"/>
        <v>1286190</v>
      </c>
      <c r="I130" s="14" t="str">
        <f t="shared" si="1"/>
        <v>Approval Threshold</v>
      </c>
    </row>
    <row r="131">
      <c r="A131" s="18" t="s">
        <v>970</v>
      </c>
      <c r="B131" s="22">
        <v>128.0</v>
      </c>
      <c r="C131" s="9">
        <v>1.7885264E7</v>
      </c>
      <c r="D131" s="9">
        <v>9732624.0</v>
      </c>
      <c r="E131" s="10" t="str">
        <f>IF(C131&gt;percent,"YES","NO")</f>
        <v>NO</v>
      </c>
      <c r="F131" s="19">
        <v>40000.0</v>
      </c>
      <c r="G131" s="12" t="str">
        <f t="shared" si="2"/>
        <v>NOT FUNDED</v>
      </c>
      <c r="H131" s="20">
        <f t="shared" si="3"/>
        <v>1286190</v>
      </c>
      <c r="I131" s="14" t="str">
        <f t="shared" si="1"/>
        <v>Approval Threshold</v>
      </c>
    </row>
    <row r="132">
      <c r="A132" s="18" t="s">
        <v>971</v>
      </c>
      <c r="B132" s="22">
        <v>97.0</v>
      </c>
      <c r="C132" s="9">
        <v>1.7819946E7</v>
      </c>
      <c r="D132" s="9">
        <v>8865405.0</v>
      </c>
      <c r="E132" s="10" t="str">
        <f>IF(C132&gt;percent,"YES","NO")</f>
        <v>NO</v>
      </c>
      <c r="F132" s="19">
        <v>41000.0</v>
      </c>
      <c r="G132" s="12" t="str">
        <f t="shared" si="2"/>
        <v>NOT FUNDED</v>
      </c>
      <c r="H132" s="20">
        <f t="shared" si="3"/>
        <v>1286190</v>
      </c>
      <c r="I132" s="14" t="str">
        <f t="shared" si="1"/>
        <v>Approval Threshold</v>
      </c>
    </row>
    <row r="133">
      <c r="A133" s="18" t="s">
        <v>972</v>
      </c>
      <c r="B133" s="22">
        <v>98.0</v>
      </c>
      <c r="C133" s="9">
        <v>1.7781564E7</v>
      </c>
      <c r="D133" s="9">
        <v>7593721.0</v>
      </c>
      <c r="E133" s="10" t="str">
        <f>IF(C133&gt;percent,"YES","NO")</f>
        <v>NO</v>
      </c>
      <c r="F133" s="19">
        <v>45000.0</v>
      </c>
      <c r="G133" s="12" t="str">
        <f t="shared" si="2"/>
        <v>NOT FUNDED</v>
      </c>
      <c r="H133" s="20">
        <f t="shared" si="3"/>
        <v>1286190</v>
      </c>
      <c r="I133" s="14" t="str">
        <f t="shared" si="1"/>
        <v>Approval Threshold</v>
      </c>
    </row>
    <row r="134">
      <c r="A134" s="18" t="s">
        <v>973</v>
      </c>
      <c r="B134" s="22">
        <v>101.0</v>
      </c>
      <c r="C134" s="9">
        <v>1.7720888E7</v>
      </c>
      <c r="D134" s="9">
        <v>1.8291352E7</v>
      </c>
      <c r="E134" s="10" t="str">
        <f>IF(C134&gt;percent,"YES","NO")</f>
        <v>NO</v>
      </c>
      <c r="F134" s="19">
        <v>60000.0</v>
      </c>
      <c r="G134" s="12" t="str">
        <f t="shared" si="2"/>
        <v>NOT FUNDED</v>
      </c>
      <c r="H134" s="20">
        <f t="shared" si="3"/>
        <v>1286190</v>
      </c>
      <c r="I134" s="14" t="str">
        <f t="shared" si="1"/>
        <v>Approval Threshold</v>
      </c>
    </row>
    <row r="135">
      <c r="A135" s="18" t="s">
        <v>974</v>
      </c>
      <c r="B135" s="22">
        <v>122.0</v>
      </c>
      <c r="C135" s="9">
        <v>1.769923E7</v>
      </c>
      <c r="D135" s="9">
        <v>1.423297E7</v>
      </c>
      <c r="E135" s="10" t="str">
        <f>IF(C135&gt;percent,"YES","NO")</f>
        <v>NO</v>
      </c>
      <c r="F135" s="19">
        <v>60000.0</v>
      </c>
      <c r="G135" s="12" t="str">
        <f t="shared" si="2"/>
        <v>NOT FUNDED</v>
      </c>
      <c r="H135" s="20">
        <f t="shared" si="3"/>
        <v>1286190</v>
      </c>
      <c r="I135" s="14" t="str">
        <f t="shared" si="1"/>
        <v>Approval Threshold</v>
      </c>
    </row>
    <row r="136">
      <c r="A136" s="18" t="s">
        <v>975</v>
      </c>
      <c r="B136" s="22">
        <v>89.0</v>
      </c>
      <c r="C136" s="9">
        <v>1.748659E7</v>
      </c>
      <c r="D136" s="9">
        <v>9682052.0</v>
      </c>
      <c r="E136" s="10" t="str">
        <f>IF(C136&gt;percent,"YES","NO")</f>
        <v>NO</v>
      </c>
      <c r="F136" s="19">
        <v>55650.0</v>
      </c>
      <c r="G136" s="12" t="str">
        <f t="shared" si="2"/>
        <v>NOT FUNDED</v>
      </c>
      <c r="H136" s="20">
        <f t="shared" si="3"/>
        <v>1286190</v>
      </c>
      <c r="I136" s="14" t="str">
        <f t="shared" si="1"/>
        <v>Approval Threshold</v>
      </c>
    </row>
    <row r="137">
      <c r="A137" s="18" t="s">
        <v>976</v>
      </c>
      <c r="B137" s="22">
        <v>213.0</v>
      </c>
      <c r="C137" s="9">
        <v>1.7420693E7</v>
      </c>
      <c r="D137" s="9">
        <v>8213882.0</v>
      </c>
      <c r="E137" s="10" t="str">
        <f>IF(C137&gt;percent,"YES","NO")</f>
        <v>NO</v>
      </c>
      <c r="F137" s="19">
        <v>45000.0</v>
      </c>
      <c r="G137" s="12" t="str">
        <f t="shared" si="2"/>
        <v>NOT FUNDED</v>
      </c>
      <c r="H137" s="20">
        <f t="shared" si="3"/>
        <v>1286190</v>
      </c>
      <c r="I137" s="14" t="str">
        <f t="shared" si="1"/>
        <v>Approval Threshold</v>
      </c>
    </row>
    <row r="138">
      <c r="A138" s="18" t="s">
        <v>977</v>
      </c>
      <c r="B138" s="22">
        <v>123.0</v>
      </c>
      <c r="C138" s="9">
        <v>1.7280761E7</v>
      </c>
      <c r="D138" s="9">
        <v>7117074.0</v>
      </c>
      <c r="E138" s="10" t="str">
        <f>IF(C138&gt;percent,"YES","NO")</f>
        <v>NO</v>
      </c>
      <c r="F138" s="19">
        <v>21164.0</v>
      </c>
      <c r="G138" s="12" t="str">
        <f t="shared" si="2"/>
        <v>NOT FUNDED</v>
      </c>
      <c r="H138" s="20">
        <f t="shared" si="3"/>
        <v>1286190</v>
      </c>
      <c r="I138" s="14" t="str">
        <f t="shared" si="1"/>
        <v>Approval Threshold</v>
      </c>
    </row>
    <row r="139">
      <c r="A139" s="18" t="s">
        <v>978</v>
      </c>
      <c r="B139" s="22">
        <v>122.0</v>
      </c>
      <c r="C139" s="9">
        <v>1.7224601E7</v>
      </c>
      <c r="D139" s="9">
        <v>1.158899E7</v>
      </c>
      <c r="E139" s="10" t="str">
        <f>IF(C139&gt;percent,"YES","NO")</f>
        <v>NO</v>
      </c>
      <c r="F139" s="19">
        <v>60000.0</v>
      </c>
      <c r="G139" s="12" t="str">
        <f t="shared" si="2"/>
        <v>NOT FUNDED</v>
      </c>
      <c r="H139" s="20">
        <f t="shared" si="3"/>
        <v>1286190</v>
      </c>
      <c r="I139" s="14" t="str">
        <f t="shared" si="1"/>
        <v>Approval Threshold</v>
      </c>
    </row>
    <row r="140">
      <c r="A140" s="18" t="s">
        <v>979</v>
      </c>
      <c r="B140" s="22">
        <v>113.0</v>
      </c>
      <c r="C140" s="9">
        <v>1.7215362E7</v>
      </c>
      <c r="D140" s="9">
        <v>1.0711948E7</v>
      </c>
      <c r="E140" s="10" t="str">
        <f>IF(C140&gt;percent,"YES","NO")</f>
        <v>NO</v>
      </c>
      <c r="F140" s="19">
        <v>31283.0</v>
      </c>
      <c r="G140" s="12" t="str">
        <f t="shared" si="2"/>
        <v>NOT FUNDED</v>
      </c>
      <c r="H140" s="20">
        <f t="shared" si="3"/>
        <v>1286190</v>
      </c>
      <c r="I140" s="14" t="str">
        <f t="shared" si="1"/>
        <v>Approval Threshold</v>
      </c>
    </row>
    <row r="141">
      <c r="A141" s="18" t="s">
        <v>980</v>
      </c>
      <c r="B141" s="22">
        <v>155.0</v>
      </c>
      <c r="C141" s="9">
        <v>1.7211655E7</v>
      </c>
      <c r="D141" s="9">
        <v>2.5116948E7</v>
      </c>
      <c r="E141" s="10" t="str">
        <f>IF(C141&gt;percent,"YES","NO")</f>
        <v>NO</v>
      </c>
      <c r="F141" s="19">
        <v>46000.0</v>
      </c>
      <c r="G141" s="12" t="str">
        <f t="shared" si="2"/>
        <v>NOT FUNDED</v>
      </c>
      <c r="H141" s="20">
        <f t="shared" si="3"/>
        <v>1286190</v>
      </c>
      <c r="I141" s="14" t="str">
        <f t="shared" si="1"/>
        <v>Approval Threshold</v>
      </c>
    </row>
    <row r="142">
      <c r="A142" s="18" t="s">
        <v>981</v>
      </c>
      <c r="B142" s="22">
        <v>125.0</v>
      </c>
      <c r="C142" s="9">
        <v>1.7163662E7</v>
      </c>
      <c r="D142" s="9">
        <v>1.2211869E7</v>
      </c>
      <c r="E142" s="10" t="str">
        <f>IF(C142&gt;percent,"YES","NO")</f>
        <v>NO</v>
      </c>
      <c r="F142" s="19">
        <v>60000.0</v>
      </c>
      <c r="G142" s="12" t="str">
        <f t="shared" si="2"/>
        <v>NOT FUNDED</v>
      </c>
      <c r="H142" s="20">
        <f t="shared" si="3"/>
        <v>1286190</v>
      </c>
      <c r="I142" s="14" t="str">
        <f t="shared" si="1"/>
        <v>Approval Threshold</v>
      </c>
    </row>
    <row r="143">
      <c r="A143" s="18" t="s">
        <v>982</v>
      </c>
      <c r="B143" s="22">
        <v>173.0</v>
      </c>
      <c r="C143" s="9">
        <v>1.7142113E7</v>
      </c>
      <c r="D143" s="9">
        <v>8378550.0</v>
      </c>
      <c r="E143" s="10" t="str">
        <f>IF(C143&gt;percent,"YES","NO")</f>
        <v>NO</v>
      </c>
      <c r="F143" s="19">
        <v>47300.0</v>
      </c>
      <c r="G143" s="12" t="str">
        <f t="shared" si="2"/>
        <v>NOT FUNDED</v>
      </c>
      <c r="H143" s="20">
        <f t="shared" si="3"/>
        <v>1286190</v>
      </c>
      <c r="I143" s="14" t="str">
        <f t="shared" si="1"/>
        <v>Approval Threshold</v>
      </c>
    </row>
    <row r="144">
      <c r="A144" s="18" t="s">
        <v>983</v>
      </c>
      <c r="B144" s="22">
        <v>150.0</v>
      </c>
      <c r="C144" s="9">
        <v>1.713997E7</v>
      </c>
      <c r="D144" s="9">
        <v>7676771.0</v>
      </c>
      <c r="E144" s="10" t="str">
        <f>IF(C144&gt;percent,"YES","NO")</f>
        <v>NO</v>
      </c>
      <c r="F144" s="19">
        <v>59959.0</v>
      </c>
      <c r="G144" s="12" t="str">
        <f t="shared" si="2"/>
        <v>NOT FUNDED</v>
      </c>
      <c r="H144" s="20">
        <f t="shared" si="3"/>
        <v>1286190</v>
      </c>
      <c r="I144" s="14" t="str">
        <f t="shared" si="1"/>
        <v>Approval Threshold</v>
      </c>
    </row>
    <row r="145">
      <c r="A145" s="18" t="s">
        <v>984</v>
      </c>
      <c r="B145" s="22">
        <v>150.0</v>
      </c>
      <c r="C145" s="9">
        <v>1.7052164E7</v>
      </c>
      <c r="D145" s="9">
        <v>6365795.0</v>
      </c>
      <c r="E145" s="10" t="str">
        <f>IF(C145&gt;percent,"YES","NO")</f>
        <v>NO</v>
      </c>
      <c r="F145" s="19">
        <v>40000.0</v>
      </c>
      <c r="G145" s="12" t="str">
        <f t="shared" si="2"/>
        <v>NOT FUNDED</v>
      </c>
      <c r="H145" s="20">
        <f t="shared" si="3"/>
        <v>1286190</v>
      </c>
      <c r="I145" s="14" t="str">
        <f t="shared" si="1"/>
        <v>Approval Threshold</v>
      </c>
    </row>
    <row r="146">
      <c r="A146" s="18" t="s">
        <v>985</v>
      </c>
      <c r="B146" s="22">
        <v>267.0</v>
      </c>
      <c r="C146" s="9">
        <v>1.7038907E7</v>
      </c>
      <c r="D146" s="9">
        <v>9065235.0</v>
      </c>
      <c r="E146" s="10" t="str">
        <f>IF(C146&gt;percent,"YES","NO")</f>
        <v>NO</v>
      </c>
      <c r="F146" s="19">
        <v>44320.0</v>
      </c>
      <c r="G146" s="12" t="str">
        <f t="shared" si="2"/>
        <v>NOT FUNDED</v>
      </c>
      <c r="H146" s="20">
        <f t="shared" si="3"/>
        <v>1286190</v>
      </c>
      <c r="I146" s="14" t="str">
        <f t="shared" si="1"/>
        <v>Approval Threshold</v>
      </c>
    </row>
    <row r="147">
      <c r="A147" s="18" t="s">
        <v>986</v>
      </c>
      <c r="B147" s="22">
        <v>108.0</v>
      </c>
      <c r="C147" s="9">
        <v>1.6756318E7</v>
      </c>
      <c r="D147" s="9">
        <v>1.2715628E7</v>
      </c>
      <c r="E147" s="10" t="str">
        <f>IF(C147&gt;percent,"YES","NO")</f>
        <v>NO</v>
      </c>
      <c r="F147" s="19">
        <v>46000.0</v>
      </c>
      <c r="G147" s="12" t="str">
        <f t="shared" si="2"/>
        <v>NOT FUNDED</v>
      </c>
      <c r="H147" s="20">
        <f t="shared" si="3"/>
        <v>1286190</v>
      </c>
      <c r="I147" s="14" t="str">
        <f t="shared" si="1"/>
        <v>Approval Threshold</v>
      </c>
    </row>
    <row r="148">
      <c r="A148" s="18" t="s">
        <v>987</v>
      </c>
      <c r="B148" s="22">
        <v>101.0</v>
      </c>
      <c r="C148" s="9">
        <v>1.6704036E7</v>
      </c>
      <c r="D148" s="9">
        <v>1.2040822E7</v>
      </c>
      <c r="E148" s="10" t="str">
        <f>IF(C148&gt;percent,"YES","NO")</f>
        <v>NO</v>
      </c>
      <c r="F148" s="19">
        <v>45660.0</v>
      </c>
      <c r="G148" s="12" t="str">
        <f t="shared" si="2"/>
        <v>NOT FUNDED</v>
      </c>
      <c r="H148" s="20">
        <f t="shared" si="3"/>
        <v>1286190</v>
      </c>
      <c r="I148" s="14" t="str">
        <f t="shared" si="1"/>
        <v>Approval Threshold</v>
      </c>
    </row>
    <row r="149">
      <c r="A149" s="18" t="s">
        <v>988</v>
      </c>
      <c r="B149" s="22">
        <v>130.0</v>
      </c>
      <c r="C149" s="9">
        <v>1.6659586E7</v>
      </c>
      <c r="D149" s="9">
        <v>6874140.0</v>
      </c>
      <c r="E149" s="10" t="str">
        <f>IF(C149&gt;percent,"YES","NO")</f>
        <v>NO</v>
      </c>
      <c r="F149" s="19">
        <v>19500.0</v>
      </c>
      <c r="G149" s="12" t="str">
        <f t="shared" si="2"/>
        <v>NOT FUNDED</v>
      </c>
      <c r="H149" s="20">
        <f t="shared" si="3"/>
        <v>1286190</v>
      </c>
      <c r="I149" s="14" t="str">
        <f t="shared" si="1"/>
        <v>Approval Threshold</v>
      </c>
    </row>
    <row r="150">
      <c r="A150" s="18" t="s">
        <v>989</v>
      </c>
      <c r="B150" s="22">
        <v>106.0</v>
      </c>
      <c r="C150" s="9">
        <v>1.6639701E7</v>
      </c>
      <c r="D150" s="9">
        <v>1.4896501E7</v>
      </c>
      <c r="E150" s="10" t="str">
        <f>IF(C150&gt;percent,"YES","NO")</f>
        <v>NO</v>
      </c>
      <c r="F150" s="19">
        <v>60000.0</v>
      </c>
      <c r="G150" s="12" t="str">
        <f t="shared" si="2"/>
        <v>NOT FUNDED</v>
      </c>
      <c r="H150" s="20">
        <f t="shared" si="3"/>
        <v>1286190</v>
      </c>
      <c r="I150" s="14" t="str">
        <f t="shared" si="1"/>
        <v>Approval Threshold</v>
      </c>
    </row>
    <row r="151">
      <c r="A151" s="18" t="s">
        <v>990</v>
      </c>
      <c r="B151" s="22">
        <v>166.0</v>
      </c>
      <c r="C151" s="9">
        <v>1.6611378E7</v>
      </c>
      <c r="D151" s="9">
        <v>7104956.0</v>
      </c>
      <c r="E151" s="10" t="str">
        <f>IF(C151&gt;percent,"YES","NO")</f>
        <v>NO</v>
      </c>
      <c r="F151" s="19">
        <v>48600.0</v>
      </c>
      <c r="G151" s="12" t="str">
        <f t="shared" si="2"/>
        <v>NOT FUNDED</v>
      </c>
      <c r="H151" s="20">
        <f t="shared" si="3"/>
        <v>1286190</v>
      </c>
      <c r="I151" s="14" t="str">
        <f t="shared" si="1"/>
        <v>Approval Threshold</v>
      </c>
    </row>
    <row r="152">
      <c r="A152" s="18" t="s">
        <v>991</v>
      </c>
      <c r="B152" s="22">
        <v>150.0</v>
      </c>
      <c r="C152" s="9">
        <v>1.656703E7</v>
      </c>
      <c r="D152" s="9">
        <v>7738959.0</v>
      </c>
      <c r="E152" s="10" t="str">
        <f>IF(C152&gt;percent,"YES","NO")</f>
        <v>NO</v>
      </c>
      <c r="F152" s="19">
        <v>59870.0</v>
      </c>
      <c r="G152" s="12" t="str">
        <f t="shared" si="2"/>
        <v>NOT FUNDED</v>
      </c>
      <c r="H152" s="20">
        <f t="shared" si="3"/>
        <v>1286190</v>
      </c>
      <c r="I152" s="14" t="str">
        <f t="shared" si="1"/>
        <v>Approval Threshold</v>
      </c>
    </row>
    <row r="153">
      <c r="A153" s="18" t="s">
        <v>992</v>
      </c>
      <c r="B153" s="22">
        <v>118.0</v>
      </c>
      <c r="C153" s="9">
        <v>1.6558047E7</v>
      </c>
      <c r="D153" s="9">
        <v>1.167327E7</v>
      </c>
      <c r="E153" s="10" t="str">
        <f>IF(C153&gt;percent,"YES","NO")</f>
        <v>NO</v>
      </c>
      <c r="F153" s="19">
        <v>60000.0</v>
      </c>
      <c r="G153" s="12" t="str">
        <f t="shared" si="2"/>
        <v>NOT FUNDED</v>
      </c>
      <c r="H153" s="20">
        <f t="shared" si="3"/>
        <v>1286190</v>
      </c>
      <c r="I153" s="14" t="str">
        <f t="shared" si="1"/>
        <v>Approval Threshold</v>
      </c>
    </row>
    <row r="154">
      <c r="A154" s="18" t="s">
        <v>993</v>
      </c>
      <c r="B154" s="22">
        <v>93.0</v>
      </c>
      <c r="C154" s="9">
        <v>1.6518494E7</v>
      </c>
      <c r="D154" s="9">
        <v>7249463.0</v>
      </c>
      <c r="E154" s="10" t="str">
        <f>IF(C154&gt;percent,"YES","NO")</f>
        <v>NO</v>
      </c>
      <c r="F154" s="19">
        <v>30000.0</v>
      </c>
      <c r="G154" s="12" t="str">
        <f t="shared" si="2"/>
        <v>NOT FUNDED</v>
      </c>
      <c r="H154" s="20">
        <f t="shared" si="3"/>
        <v>1286190</v>
      </c>
      <c r="I154" s="14" t="str">
        <f t="shared" si="1"/>
        <v>Approval Threshold</v>
      </c>
    </row>
    <row r="155">
      <c r="A155" s="18" t="s">
        <v>994</v>
      </c>
      <c r="B155" s="22">
        <v>159.0</v>
      </c>
      <c r="C155" s="9">
        <v>1.6448033E7</v>
      </c>
      <c r="D155" s="9">
        <v>8977761.0</v>
      </c>
      <c r="E155" s="10" t="str">
        <f>IF(C155&gt;percent,"YES","NO")</f>
        <v>NO</v>
      </c>
      <c r="F155" s="19">
        <v>24662.0</v>
      </c>
      <c r="G155" s="12" t="str">
        <f t="shared" si="2"/>
        <v>NOT FUNDED</v>
      </c>
      <c r="H155" s="20">
        <f t="shared" si="3"/>
        <v>1286190</v>
      </c>
      <c r="I155" s="14" t="str">
        <f t="shared" si="1"/>
        <v>Approval Threshold</v>
      </c>
    </row>
    <row r="156">
      <c r="A156" s="18" t="s">
        <v>995</v>
      </c>
      <c r="B156" s="22">
        <v>140.0</v>
      </c>
      <c r="C156" s="9">
        <v>1.6444677E7</v>
      </c>
      <c r="D156" s="9">
        <v>2.1559009E7</v>
      </c>
      <c r="E156" s="10" t="str">
        <f>IF(C156&gt;percent,"YES","NO")</f>
        <v>NO</v>
      </c>
      <c r="F156" s="19">
        <v>26571.0</v>
      </c>
      <c r="G156" s="12" t="str">
        <f t="shared" si="2"/>
        <v>NOT FUNDED</v>
      </c>
      <c r="H156" s="20">
        <f t="shared" si="3"/>
        <v>1286190</v>
      </c>
      <c r="I156" s="14" t="str">
        <f t="shared" si="1"/>
        <v>Approval Threshold</v>
      </c>
    </row>
    <row r="157">
      <c r="A157" s="18" t="s">
        <v>996</v>
      </c>
      <c r="B157" s="22">
        <v>103.0</v>
      </c>
      <c r="C157" s="9">
        <v>1.6331681E7</v>
      </c>
      <c r="D157" s="9">
        <v>1.5042775E7</v>
      </c>
      <c r="E157" s="10" t="str">
        <f>IF(C157&gt;percent,"YES","NO")</f>
        <v>NO</v>
      </c>
      <c r="F157" s="19">
        <v>60000.0</v>
      </c>
      <c r="G157" s="12" t="str">
        <f t="shared" si="2"/>
        <v>NOT FUNDED</v>
      </c>
      <c r="H157" s="20">
        <f t="shared" si="3"/>
        <v>1286190</v>
      </c>
      <c r="I157" s="14" t="str">
        <f t="shared" si="1"/>
        <v>Approval Threshold</v>
      </c>
    </row>
    <row r="158">
      <c r="A158" s="18" t="s">
        <v>997</v>
      </c>
      <c r="B158" s="22">
        <v>168.0</v>
      </c>
      <c r="C158" s="9">
        <v>1.6288845E7</v>
      </c>
      <c r="D158" s="9">
        <v>7668434.0</v>
      </c>
      <c r="E158" s="10" t="str">
        <f>IF(C158&gt;percent,"YES","NO")</f>
        <v>NO</v>
      </c>
      <c r="F158" s="19">
        <v>22220.0</v>
      </c>
      <c r="G158" s="12" t="str">
        <f t="shared" si="2"/>
        <v>NOT FUNDED</v>
      </c>
      <c r="H158" s="20">
        <f t="shared" si="3"/>
        <v>1286190</v>
      </c>
      <c r="I158" s="14" t="str">
        <f t="shared" si="1"/>
        <v>Approval Threshold</v>
      </c>
    </row>
    <row r="159">
      <c r="A159" s="18" t="s">
        <v>998</v>
      </c>
      <c r="B159" s="22">
        <v>124.0</v>
      </c>
      <c r="C159" s="9">
        <v>1.6260789E7</v>
      </c>
      <c r="D159" s="9">
        <v>9343943.0</v>
      </c>
      <c r="E159" s="10" t="str">
        <f>IF(C159&gt;percent,"YES","NO")</f>
        <v>NO</v>
      </c>
      <c r="F159" s="19">
        <v>60000.0</v>
      </c>
      <c r="G159" s="12" t="str">
        <f t="shared" si="2"/>
        <v>NOT FUNDED</v>
      </c>
      <c r="H159" s="20">
        <f t="shared" si="3"/>
        <v>1286190</v>
      </c>
      <c r="I159" s="14" t="str">
        <f t="shared" si="1"/>
        <v>Approval Threshold</v>
      </c>
    </row>
    <row r="160">
      <c r="A160" s="18" t="s">
        <v>999</v>
      </c>
      <c r="B160" s="22">
        <v>87.0</v>
      </c>
      <c r="C160" s="9">
        <v>1.6098532E7</v>
      </c>
      <c r="D160" s="9">
        <v>1.1650356E7</v>
      </c>
      <c r="E160" s="10" t="str">
        <f>IF(C160&gt;percent,"YES","NO")</f>
        <v>NO</v>
      </c>
      <c r="F160" s="19">
        <v>60000.0</v>
      </c>
      <c r="G160" s="12" t="str">
        <f t="shared" si="2"/>
        <v>NOT FUNDED</v>
      </c>
      <c r="H160" s="20">
        <f t="shared" si="3"/>
        <v>1286190</v>
      </c>
      <c r="I160" s="14" t="str">
        <f t="shared" si="1"/>
        <v>Approval Threshold</v>
      </c>
    </row>
    <row r="161">
      <c r="A161" s="18" t="s">
        <v>1000</v>
      </c>
      <c r="B161" s="22">
        <v>99.0</v>
      </c>
      <c r="C161" s="9">
        <v>1.6065929E7</v>
      </c>
      <c r="D161" s="9">
        <v>1.3624346E7</v>
      </c>
      <c r="E161" s="10" t="str">
        <f>IF(C161&gt;percent,"YES","NO")</f>
        <v>NO</v>
      </c>
      <c r="F161" s="19">
        <v>60000.0</v>
      </c>
      <c r="G161" s="12" t="str">
        <f t="shared" si="2"/>
        <v>NOT FUNDED</v>
      </c>
      <c r="H161" s="20">
        <f t="shared" si="3"/>
        <v>1286190</v>
      </c>
      <c r="I161" s="14" t="str">
        <f t="shared" si="1"/>
        <v>Approval Threshold</v>
      </c>
    </row>
    <row r="162">
      <c r="A162" s="18" t="s">
        <v>1001</v>
      </c>
      <c r="B162" s="22">
        <v>98.0</v>
      </c>
      <c r="C162" s="9">
        <v>1.5906464E7</v>
      </c>
      <c r="D162" s="9">
        <v>7718813.0</v>
      </c>
      <c r="E162" s="10" t="str">
        <f>IF(C162&gt;percent,"YES","NO")</f>
        <v>NO</v>
      </c>
      <c r="F162" s="19">
        <v>50000.0</v>
      </c>
      <c r="G162" s="12" t="str">
        <f t="shared" si="2"/>
        <v>NOT FUNDED</v>
      </c>
      <c r="H162" s="20">
        <f t="shared" si="3"/>
        <v>1286190</v>
      </c>
      <c r="I162" s="14" t="str">
        <f t="shared" si="1"/>
        <v>Approval Threshold</v>
      </c>
    </row>
    <row r="163">
      <c r="A163" s="18" t="s">
        <v>1002</v>
      </c>
      <c r="B163" s="22">
        <v>98.0</v>
      </c>
      <c r="C163" s="9">
        <v>1.5845982E7</v>
      </c>
      <c r="D163" s="9">
        <v>1.4775152E7</v>
      </c>
      <c r="E163" s="10" t="str">
        <f>IF(C163&gt;percent,"YES","NO")</f>
        <v>NO</v>
      </c>
      <c r="F163" s="19">
        <v>60000.0</v>
      </c>
      <c r="G163" s="12" t="str">
        <f t="shared" si="2"/>
        <v>NOT FUNDED</v>
      </c>
      <c r="H163" s="20">
        <f t="shared" si="3"/>
        <v>1286190</v>
      </c>
      <c r="I163" s="14" t="str">
        <f t="shared" si="1"/>
        <v>Approval Threshold</v>
      </c>
    </row>
    <row r="164">
      <c r="A164" s="18" t="s">
        <v>1003</v>
      </c>
      <c r="B164" s="22">
        <v>110.0</v>
      </c>
      <c r="C164" s="9">
        <v>1.5838951E7</v>
      </c>
      <c r="D164" s="9">
        <v>1.2051588E7</v>
      </c>
      <c r="E164" s="10" t="str">
        <f>IF(C164&gt;percent,"YES","NO")</f>
        <v>NO</v>
      </c>
      <c r="F164" s="19">
        <v>48000.0</v>
      </c>
      <c r="G164" s="12" t="str">
        <f t="shared" si="2"/>
        <v>NOT FUNDED</v>
      </c>
      <c r="H164" s="20">
        <f t="shared" si="3"/>
        <v>1286190</v>
      </c>
      <c r="I164" s="14" t="str">
        <f t="shared" si="1"/>
        <v>Approval Threshold</v>
      </c>
    </row>
    <row r="165">
      <c r="A165" s="18" t="s">
        <v>1004</v>
      </c>
      <c r="B165" s="22">
        <v>105.0</v>
      </c>
      <c r="C165" s="9">
        <v>1.5782097E7</v>
      </c>
      <c r="D165" s="9">
        <v>8839404.0</v>
      </c>
      <c r="E165" s="10" t="str">
        <f>IF(C165&gt;percent,"YES","NO")</f>
        <v>NO</v>
      </c>
      <c r="F165" s="19">
        <v>41750.0</v>
      </c>
      <c r="G165" s="12" t="str">
        <f t="shared" si="2"/>
        <v>NOT FUNDED</v>
      </c>
      <c r="H165" s="20">
        <f t="shared" si="3"/>
        <v>1286190</v>
      </c>
      <c r="I165" s="14" t="str">
        <f t="shared" si="1"/>
        <v>Approval Threshold</v>
      </c>
    </row>
    <row r="166">
      <c r="A166" s="18" t="s">
        <v>1005</v>
      </c>
      <c r="B166" s="22">
        <v>140.0</v>
      </c>
      <c r="C166" s="9">
        <v>1.571518E7</v>
      </c>
      <c r="D166" s="9">
        <v>1.5507429E7</v>
      </c>
      <c r="E166" s="10" t="str">
        <f>IF(C166&gt;percent,"YES","NO")</f>
        <v>NO</v>
      </c>
      <c r="F166" s="19">
        <v>60000.0</v>
      </c>
      <c r="G166" s="12" t="str">
        <f t="shared" si="2"/>
        <v>NOT FUNDED</v>
      </c>
      <c r="H166" s="20">
        <f t="shared" si="3"/>
        <v>1286190</v>
      </c>
      <c r="I166" s="14" t="str">
        <f t="shared" si="1"/>
        <v>Approval Threshold</v>
      </c>
    </row>
    <row r="167">
      <c r="A167" s="18" t="s">
        <v>1006</v>
      </c>
      <c r="B167" s="22">
        <v>103.0</v>
      </c>
      <c r="C167" s="9">
        <v>1.5653542E7</v>
      </c>
      <c r="D167" s="9">
        <v>9395298.0</v>
      </c>
      <c r="E167" s="10" t="str">
        <f>IF(C167&gt;percent,"YES","NO")</f>
        <v>NO</v>
      </c>
      <c r="F167" s="19">
        <v>22000.0</v>
      </c>
      <c r="G167" s="12" t="str">
        <f t="shared" si="2"/>
        <v>NOT FUNDED</v>
      </c>
      <c r="H167" s="20">
        <f t="shared" si="3"/>
        <v>1286190</v>
      </c>
      <c r="I167" s="14" t="str">
        <f t="shared" si="1"/>
        <v>Approval Threshold</v>
      </c>
    </row>
    <row r="168">
      <c r="A168" s="18" t="s">
        <v>1007</v>
      </c>
      <c r="B168" s="22">
        <v>120.0</v>
      </c>
      <c r="C168" s="9">
        <v>1.544277E7</v>
      </c>
      <c r="D168" s="9">
        <v>7588848.0</v>
      </c>
      <c r="E168" s="10" t="str">
        <f>IF(C168&gt;percent,"YES","NO")</f>
        <v>NO</v>
      </c>
      <c r="F168" s="19">
        <v>26000.0</v>
      </c>
      <c r="G168" s="12" t="str">
        <f t="shared" si="2"/>
        <v>NOT FUNDED</v>
      </c>
      <c r="H168" s="20">
        <f t="shared" si="3"/>
        <v>1286190</v>
      </c>
      <c r="I168" s="14" t="str">
        <f t="shared" si="1"/>
        <v>Approval Threshold</v>
      </c>
    </row>
    <row r="169">
      <c r="A169" s="18" t="s">
        <v>1008</v>
      </c>
      <c r="B169" s="22">
        <v>151.0</v>
      </c>
      <c r="C169" s="9">
        <v>1.5365319E7</v>
      </c>
      <c r="D169" s="9">
        <v>9148641.0</v>
      </c>
      <c r="E169" s="10" t="str">
        <f>IF(C169&gt;percent,"YES","NO")</f>
        <v>NO</v>
      </c>
      <c r="F169" s="19">
        <v>58800.0</v>
      </c>
      <c r="G169" s="12" t="str">
        <f t="shared" si="2"/>
        <v>NOT FUNDED</v>
      </c>
      <c r="H169" s="20">
        <f t="shared" si="3"/>
        <v>1286190</v>
      </c>
      <c r="I169" s="14" t="str">
        <f t="shared" si="1"/>
        <v>Approval Threshold</v>
      </c>
    </row>
    <row r="170">
      <c r="A170" s="18" t="s">
        <v>1009</v>
      </c>
      <c r="B170" s="22">
        <v>108.0</v>
      </c>
      <c r="C170" s="9">
        <v>1.532241E7</v>
      </c>
      <c r="D170" s="9">
        <v>1.2731558E7</v>
      </c>
      <c r="E170" s="10" t="str">
        <f>IF(C170&gt;percent,"YES","NO")</f>
        <v>NO</v>
      </c>
      <c r="F170" s="19">
        <v>60000.0</v>
      </c>
      <c r="G170" s="12" t="str">
        <f t="shared" si="2"/>
        <v>NOT FUNDED</v>
      </c>
      <c r="H170" s="20">
        <f t="shared" si="3"/>
        <v>1286190</v>
      </c>
      <c r="I170" s="14" t="str">
        <f t="shared" si="1"/>
        <v>Approval Threshold</v>
      </c>
    </row>
    <row r="171">
      <c r="A171" s="18" t="s">
        <v>1010</v>
      </c>
      <c r="B171" s="22">
        <v>97.0</v>
      </c>
      <c r="C171" s="9">
        <v>1.4942893E7</v>
      </c>
      <c r="D171" s="9">
        <v>1.3771666E7</v>
      </c>
      <c r="E171" s="10" t="str">
        <f>IF(C171&gt;percent,"YES","NO")</f>
        <v>NO</v>
      </c>
      <c r="F171" s="19">
        <v>58000.0</v>
      </c>
      <c r="G171" s="12" t="str">
        <f t="shared" si="2"/>
        <v>NOT FUNDED</v>
      </c>
      <c r="H171" s="20">
        <f t="shared" si="3"/>
        <v>1286190</v>
      </c>
      <c r="I171" s="14" t="str">
        <f t="shared" si="1"/>
        <v>Approval Threshold</v>
      </c>
    </row>
    <row r="172">
      <c r="A172" s="18" t="s">
        <v>1011</v>
      </c>
      <c r="B172" s="22">
        <v>105.0</v>
      </c>
      <c r="C172" s="9">
        <v>1.4832831E7</v>
      </c>
      <c r="D172" s="9">
        <v>1.0098577E7</v>
      </c>
      <c r="E172" s="10" t="str">
        <f>IF(C172&gt;percent,"YES","NO")</f>
        <v>NO</v>
      </c>
      <c r="F172" s="19">
        <v>37060.0</v>
      </c>
      <c r="G172" s="12" t="str">
        <f t="shared" si="2"/>
        <v>NOT FUNDED</v>
      </c>
      <c r="H172" s="20">
        <f t="shared" si="3"/>
        <v>1286190</v>
      </c>
      <c r="I172" s="14" t="str">
        <f t="shared" si="1"/>
        <v>Approval Threshold</v>
      </c>
    </row>
    <row r="173">
      <c r="A173" s="18" t="s">
        <v>1012</v>
      </c>
      <c r="B173" s="22">
        <v>152.0</v>
      </c>
      <c r="C173" s="9">
        <v>1.4780802E7</v>
      </c>
      <c r="D173" s="9">
        <v>9464720.0</v>
      </c>
      <c r="E173" s="10" t="str">
        <f>IF(C173&gt;percent,"YES","NO")</f>
        <v>NO</v>
      </c>
      <c r="F173" s="19">
        <v>45000.0</v>
      </c>
      <c r="G173" s="12" t="str">
        <f t="shared" si="2"/>
        <v>NOT FUNDED</v>
      </c>
      <c r="H173" s="20">
        <f t="shared" si="3"/>
        <v>1286190</v>
      </c>
      <c r="I173" s="14" t="str">
        <f t="shared" si="1"/>
        <v>Approval Threshold</v>
      </c>
    </row>
    <row r="174">
      <c r="A174" s="18" t="s">
        <v>1013</v>
      </c>
      <c r="B174" s="22">
        <v>102.0</v>
      </c>
      <c r="C174" s="9">
        <v>1.463126E7</v>
      </c>
      <c r="D174" s="9">
        <v>1.5105512E7</v>
      </c>
      <c r="E174" s="10" t="str">
        <f>IF(C174&gt;percent,"YES","NO")</f>
        <v>NO</v>
      </c>
      <c r="F174" s="19">
        <v>60000.0</v>
      </c>
      <c r="G174" s="12" t="str">
        <f t="shared" si="2"/>
        <v>NOT FUNDED</v>
      </c>
      <c r="H174" s="20">
        <f t="shared" si="3"/>
        <v>1286190</v>
      </c>
      <c r="I174" s="14" t="str">
        <f t="shared" si="1"/>
        <v>Approval Threshold</v>
      </c>
    </row>
    <row r="175">
      <c r="A175" s="18" t="s">
        <v>1014</v>
      </c>
      <c r="B175" s="22">
        <v>118.0</v>
      </c>
      <c r="C175" s="9">
        <v>1.4552711E7</v>
      </c>
      <c r="D175" s="9">
        <v>9415679.0</v>
      </c>
      <c r="E175" s="10" t="str">
        <f>IF(C175&gt;percent,"YES","NO")</f>
        <v>NO</v>
      </c>
      <c r="F175" s="19">
        <v>15000.0</v>
      </c>
      <c r="G175" s="12" t="str">
        <f t="shared" si="2"/>
        <v>NOT FUNDED</v>
      </c>
      <c r="H175" s="20">
        <f t="shared" si="3"/>
        <v>1286190</v>
      </c>
      <c r="I175" s="14" t="str">
        <f t="shared" si="1"/>
        <v>Approval Threshold</v>
      </c>
    </row>
    <row r="176">
      <c r="A176" s="18" t="s">
        <v>1015</v>
      </c>
      <c r="B176" s="22">
        <v>185.0</v>
      </c>
      <c r="C176" s="9">
        <v>1.447292E7</v>
      </c>
      <c r="D176" s="9">
        <v>1.1033705E7</v>
      </c>
      <c r="E176" s="10" t="str">
        <f>IF(C176&gt;percent,"YES","NO")</f>
        <v>NO</v>
      </c>
      <c r="F176" s="19">
        <v>33000.0</v>
      </c>
      <c r="G176" s="12" t="str">
        <f t="shared" si="2"/>
        <v>NOT FUNDED</v>
      </c>
      <c r="H176" s="20">
        <f t="shared" si="3"/>
        <v>1286190</v>
      </c>
      <c r="I176" s="14" t="str">
        <f t="shared" si="1"/>
        <v>Approval Threshold</v>
      </c>
    </row>
    <row r="177">
      <c r="A177" s="18" t="s">
        <v>1016</v>
      </c>
      <c r="B177" s="22">
        <v>163.0</v>
      </c>
      <c r="C177" s="9">
        <v>1.4447566E7</v>
      </c>
      <c r="D177" s="9">
        <v>1.0414278E7</v>
      </c>
      <c r="E177" s="10" t="str">
        <f>IF(C177&gt;percent,"YES","NO")</f>
        <v>NO</v>
      </c>
      <c r="F177" s="19">
        <v>41780.0</v>
      </c>
      <c r="G177" s="12" t="str">
        <f t="shared" si="2"/>
        <v>NOT FUNDED</v>
      </c>
      <c r="H177" s="20">
        <f t="shared" si="3"/>
        <v>1286190</v>
      </c>
      <c r="I177" s="14" t="str">
        <f t="shared" si="1"/>
        <v>Approval Threshold</v>
      </c>
    </row>
    <row r="178">
      <c r="A178" s="18" t="s">
        <v>1017</v>
      </c>
      <c r="B178" s="22">
        <v>108.0</v>
      </c>
      <c r="C178" s="9">
        <v>1.4412765E7</v>
      </c>
      <c r="D178" s="9">
        <v>2.1902984E7</v>
      </c>
      <c r="E178" s="10" t="str">
        <f>IF(C178&gt;percent,"YES","NO")</f>
        <v>NO</v>
      </c>
      <c r="F178" s="19">
        <v>15000.0</v>
      </c>
      <c r="G178" s="12" t="str">
        <f t="shared" si="2"/>
        <v>NOT FUNDED</v>
      </c>
      <c r="H178" s="20">
        <f t="shared" si="3"/>
        <v>1286190</v>
      </c>
      <c r="I178" s="14" t="str">
        <f t="shared" si="1"/>
        <v>Approval Threshold</v>
      </c>
    </row>
    <row r="179">
      <c r="A179" s="18" t="s">
        <v>1018</v>
      </c>
      <c r="B179" s="22">
        <v>125.0</v>
      </c>
      <c r="C179" s="9">
        <v>1.4401184E7</v>
      </c>
      <c r="D179" s="9">
        <v>1.4175874E7</v>
      </c>
      <c r="E179" s="10" t="str">
        <f>IF(C179&gt;percent,"YES","NO")</f>
        <v>NO</v>
      </c>
      <c r="F179" s="19">
        <v>60000.0</v>
      </c>
      <c r="G179" s="12" t="str">
        <f t="shared" si="2"/>
        <v>NOT FUNDED</v>
      </c>
      <c r="H179" s="20">
        <f t="shared" si="3"/>
        <v>1286190</v>
      </c>
      <c r="I179" s="14" t="str">
        <f t="shared" si="1"/>
        <v>Approval Threshold</v>
      </c>
    </row>
    <row r="180">
      <c r="A180" s="18" t="s">
        <v>1019</v>
      </c>
      <c r="B180" s="22">
        <v>125.0</v>
      </c>
      <c r="C180" s="9">
        <v>1.4390565E7</v>
      </c>
      <c r="D180" s="9">
        <v>7823261.0</v>
      </c>
      <c r="E180" s="10" t="str">
        <f>IF(C180&gt;percent,"YES","NO")</f>
        <v>NO</v>
      </c>
      <c r="F180" s="19">
        <v>34800.0</v>
      </c>
      <c r="G180" s="12" t="str">
        <f t="shared" si="2"/>
        <v>NOT FUNDED</v>
      </c>
      <c r="H180" s="20">
        <f t="shared" si="3"/>
        <v>1286190</v>
      </c>
      <c r="I180" s="14" t="str">
        <f t="shared" si="1"/>
        <v>Approval Threshold</v>
      </c>
    </row>
    <row r="181">
      <c r="A181" s="18" t="s">
        <v>1020</v>
      </c>
      <c r="B181" s="22">
        <v>97.0</v>
      </c>
      <c r="C181" s="9">
        <v>1.4329335E7</v>
      </c>
      <c r="D181" s="9">
        <v>1.7998941E7</v>
      </c>
      <c r="E181" s="10" t="str">
        <f>IF(C181&gt;percent,"YES","NO")</f>
        <v>NO</v>
      </c>
      <c r="F181" s="19">
        <v>60000.0</v>
      </c>
      <c r="G181" s="12" t="str">
        <f t="shared" si="2"/>
        <v>NOT FUNDED</v>
      </c>
      <c r="H181" s="20">
        <f t="shared" si="3"/>
        <v>1286190</v>
      </c>
      <c r="I181" s="14" t="str">
        <f t="shared" si="1"/>
        <v>Approval Threshold</v>
      </c>
    </row>
    <row r="182">
      <c r="A182" s="18" t="s">
        <v>1021</v>
      </c>
      <c r="B182" s="22">
        <v>116.0</v>
      </c>
      <c r="C182" s="9">
        <v>1.4297185E7</v>
      </c>
      <c r="D182" s="9">
        <v>2.1454472E7</v>
      </c>
      <c r="E182" s="10" t="str">
        <f>IF(C182&gt;percent,"YES","NO")</f>
        <v>NO</v>
      </c>
      <c r="F182" s="19">
        <v>60000.0</v>
      </c>
      <c r="G182" s="12" t="str">
        <f t="shared" si="2"/>
        <v>NOT FUNDED</v>
      </c>
      <c r="H182" s="20">
        <f t="shared" si="3"/>
        <v>1286190</v>
      </c>
      <c r="I182" s="14" t="str">
        <f t="shared" si="1"/>
        <v>Approval Threshold</v>
      </c>
    </row>
    <row r="183">
      <c r="A183" s="18" t="s">
        <v>1022</v>
      </c>
      <c r="B183" s="22">
        <v>130.0</v>
      </c>
      <c r="C183" s="9">
        <v>1.4249069E7</v>
      </c>
      <c r="D183" s="9">
        <v>8994271.0</v>
      </c>
      <c r="E183" s="10" t="str">
        <f>IF(C183&gt;percent,"YES","NO")</f>
        <v>NO</v>
      </c>
      <c r="F183" s="19">
        <v>59000.0</v>
      </c>
      <c r="G183" s="12" t="str">
        <f t="shared" si="2"/>
        <v>NOT FUNDED</v>
      </c>
      <c r="H183" s="20">
        <f t="shared" si="3"/>
        <v>1286190</v>
      </c>
      <c r="I183" s="14" t="str">
        <f t="shared" si="1"/>
        <v>Approval Threshold</v>
      </c>
    </row>
    <row r="184">
      <c r="A184" s="18" t="s">
        <v>1023</v>
      </c>
      <c r="B184" s="22">
        <v>106.0</v>
      </c>
      <c r="C184" s="9">
        <v>1.4177386E7</v>
      </c>
      <c r="D184" s="9">
        <v>1.5445932E7</v>
      </c>
      <c r="E184" s="10" t="str">
        <f>IF(C184&gt;percent,"YES","NO")</f>
        <v>NO</v>
      </c>
      <c r="F184" s="19">
        <v>50000.0</v>
      </c>
      <c r="G184" s="12" t="str">
        <f t="shared" si="2"/>
        <v>NOT FUNDED</v>
      </c>
      <c r="H184" s="20">
        <f t="shared" si="3"/>
        <v>1286190</v>
      </c>
      <c r="I184" s="14" t="str">
        <f t="shared" si="1"/>
        <v>Approval Threshold</v>
      </c>
    </row>
    <row r="185">
      <c r="A185" s="18" t="s">
        <v>1024</v>
      </c>
      <c r="B185" s="22">
        <v>89.0</v>
      </c>
      <c r="C185" s="9">
        <v>1.4091089E7</v>
      </c>
      <c r="D185" s="9">
        <v>7315946.0</v>
      </c>
      <c r="E185" s="10" t="str">
        <f>IF(C185&gt;percent,"YES","NO")</f>
        <v>NO</v>
      </c>
      <c r="F185" s="19">
        <v>36582.0</v>
      </c>
      <c r="G185" s="12" t="str">
        <f t="shared" si="2"/>
        <v>NOT FUNDED</v>
      </c>
      <c r="H185" s="20">
        <f t="shared" si="3"/>
        <v>1286190</v>
      </c>
      <c r="I185" s="14" t="str">
        <f t="shared" si="1"/>
        <v>Approval Threshold</v>
      </c>
    </row>
    <row r="186">
      <c r="A186" s="18" t="s">
        <v>1025</v>
      </c>
      <c r="B186" s="22">
        <v>146.0</v>
      </c>
      <c r="C186" s="9">
        <v>1.40576E7</v>
      </c>
      <c r="D186" s="9">
        <v>2.9346867E7</v>
      </c>
      <c r="E186" s="10" t="str">
        <f>IF(C186&gt;percent,"YES","NO")</f>
        <v>NO</v>
      </c>
      <c r="F186" s="19">
        <v>60000.0</v>
      </c>
      <c r="G186" s="12" t="str">
        <f t="shared" si="2"/>
        <v>NOT FUNDED</v>
      </c>
      <c r="H186" s="20">
        <f t="shared" si="3"/>
        <v>1286190</v>
      </c>
      <c r="I186" s="14" t="str">
        <f t="shared" si="1"/>
        <v>Approval Threshold</v>
      </c>
    </row>
    <row r="187">
      <c r="A187" s="18" t="s">
        <v>1026</v>
      </c>
      <c r="B187" s="22">
        <v>116.0</v>
      </c>
      <c r="C187" s="9">
        <v>1.3994859E7</v>
      </c>
      <c r="D187" s="9">
        <v>8013467.0</v>
      </c>
      <c r="E187" s="10" t="str">
        <f>IF(C187&gt;percent,"YES","NO")</f>
        <v>NO</v>
      </c>
      <c r="F187" s="19">
        <v>55000.0</v>
      </c>
      <c r="G187" s="12" t="str">
        <f t="shared" si="2"/>
        <v>NOT FUNDED</v>
      </c>
      <c r="H187" s="20">
        <f t="shared" si="3"/>
        <v>1286190</v>
      </c>
      <c r="I187" s="14" t="str">
        <f t="shared" si="1"/>
        <v>Approval Threshold</v>
      </c>
    </row>
    <row r="188">
      <c r="A188" s="18" t="s">
        <v>1027</v>
      </c>
      <c r="B188" s="22">
        <v>100.0</v>
      </c>
      <c r="C188" s="9">
        <v>1.3987214E7</v>
      </c>
      <c r="D188" s="9">
        <v>1.08654E7</v>
      </c>
      <c r="E188" s="10" t="str">
        <f>IF(C188&gt;percent,"YES","NO")</f>
        <v>NO</v>
      </c>
      <c r="F188" s="19">
        <v>60000.0</v>
      </c>
      <c r="G188" s="12" t="str">
        <f t="shared" si="2"/>
        <v>NOT FUNDED</v>
      </c>
      <c r="H188" s="20">
        <f t="shared" si="3"/>
        <v>1286190</v>
      </c>
      <c r="I188" s="14" t="str">
        <f t="shared" si="1"/>
        <v>Approval Threshold</v>
      </c>
    </row>
    <row r="189">
      <c r="A189" s="18" t="s">
        <v>1028</v>
      </c>
      <c r="B189" s="22">
        <v>126.0</v>
      </c>
      <c r="C189" s="9">
        <v>1.3943275E7</v>
      </c>
      <c r="D189" s="9">
        <v>9971828.0</v>
      </c>
      <c r="E189" s="10" t="str">
        <f>IF(C189&gt;percent,"YES","NO")</f>
        <v>NO</v>
      </c>
      <c r="F189" s="19">
        <v>60000.0</v>
      </c>
      <c r="G189" s="12" t="str">
        <f t="shared" si="2"/>
        <v>NOT FUNDED</v>
      </c>
      <c r="H189" s="20">
        <f t="shared" si="3"/>
        <v>1286190</v>
      </c>
      <c r="I189" s="14" t="str">
        <f t="shared" si="1"/>
        <v>Approval Threshold</v>
      </c>
    </row>
    <row r="190">
      <c r="A190" s="18" t="s">
        <v>1029</v>
      </c>
      <c r="B190" s="22">
        <v>111.0</v>
      </c>
      <c r="C190" s="9">
        <v>1.3903415E7</v>
      </c>
      <c r="D190" s="9">
        <v>1.4193563E7</v>
      </c>
      <c r="E190" s="10" t="str">
        <f>IF(C190&gt;percent,"YES","NO")</f>
        <v>NO</v>
      </c>
      <c r="F190" s="19">
        <v>40000.0</v>
      </c>
      <c r="G190" s="12" t="str">
        <f t="shared" si="2"/>
        <v>NOT FUNDED</v>
      </c>
      <c r="H190" s="20">
        <f t="shared" si="3"/>
        <v>1286190</v>
      </c>
      <c r="I190" s="14" t="str">
        <f t="shared" si="1"/>
        <v>Approval Threshold</v>
      </c>
    </row>
    <row r="191">
      <c r="A191" s="18" t="s">
        <v>1030</v>
      </c>
      <c r="B191" s="22">
        <v>136.0</v>
      </c>
      <c r="C191" s="9">
        <v>1.3853272E7</v>
      </c>
      <c r="D191" s="9">
        <v>9073503.0</v>
      </c>
      <c r="E191" s="10" t="str">
        <f>IF(C191&gt;percent,"YES","NO")</f>
        <v>NO</v>
      </c>
      <c r="F191" s="19">
        <v>41800.0</v>
      </c>
      <c r="G191" s="12" t="str">
        <f t="shared" si="2"/>
        <v>NOT FUNDED</v>
      </c>
      <c r="H191" s="20">
        <f t="shared" si="3"/>
        <v>1286190</v>
      </c>
      <c r="I191" s="14" t="str">
        <f t="shared" si="1"/>
        <v>Approval Threshold</v>
      </c>
    </row>
    <row r="192">
      <c r="A192" s="18" t="s">
        <v>1031</v>
      </c>
      <c r="B192" s="22">
        <v>123.0</v>
      </c>
      <c r="C192" s="9">
        <v>1.3756891E7</v>
      </c>
      <c r="D192" s="9">
        <v>8808531.0</v>
      </c>
      <c r="E192" s="10" t="str">
        <f>IF(C192&gt;percent,"YES","NO")</f>
        <v>NO</v>
      </c>
      <c r="F192" s="19">
        <v>35000.0</v>
      </c>
      <c r="G192" s="12" t="str">
        <f t="shared" si="2"/>
        <v>NOT FUNDED</v>
      </c>
      <c r="H192" s="20">
        <f t="shared" si="3"/>
        <v>1286190</v>
      </c>
      <c r="I192" s="14" t="str">
        <f t="shared" si="1"/>
        <v>Approval Threshold</v>
      </c>
    </row>
    <row r="193">
      <c r="A193" s="18" t="s">
        <v>1032</v>
      </c>
      <c r="B193" s="22">
        <v>112.0</v>
      </c>
      <c r="C193" s="9">
        <v>1.3619043E7</v>
      </c>
      <c r="D193" s="9">
        <v>2.3138087E7</v>
      </c>
      <c r="E193" s="10" t="str">
        <f>IF(C193&gt;percent,"YES","NO")</f>
        <v>NO</v>
      </c>
      <c r="F193" s="19">
        <v>59000.0</v>
      </c>
      <c r="G193" s="12" t="str">
        <f t="shared" si="2"/>
        <v>NOT FUNDED</v>
      </c>
      <c r="H193" s="20">
        <f t="shared" si="3"/>
        <v>1286190</v>
      </c>
      <c r="I193" s="14" t="str">
        <f t="shared" si="1"/>
        <v>Approval Threshold</v>
      </c>
    </row>
    <row r="194">
      <c r="A194" s="18" t="s">
        <v>1033</v>
      </c>
      <c r="B194" s="22">
        <v>146.0</v>
      </c>
      <c r="C194" s="9">
        <v>1.3537081E7</v>
      </c>
      <c r="D194" s="9">
        <v>1.0652951E7</v>
      </c>
      <c r="E194" s="10" t="str">
        <f>IF(C194&gt;percent,"YES","NO")</f>
        <v>NO</v>
      </c>
      <c r="F194" s="19">
        <v>15000.0</v>
      </c>
      <c r="G194" s="12" t="str">
        <f t="shared" si="2"/>
        <v>NOT FUNDED</v>
      </c>
      <c r="H194" s="20">
        <f t="shared" si="3"/>
        <v>1286190</v>
      </c>
      <c r="I194" s="14" t="str">
        <f t="shared" si="1"/>
        <v>Approval Threshold</v>
      </c>
    </row>
    <row r="195">
      <c r="A195" s="18" t="s">
        <v>1034</v>
      </c>
      <c r="B195" s="22">
        <v>138.0</v>
      </c>
      <c r="C195" s="9">
        <v>1.3469758E7</v>
      </c>
      <c r="D195" s="9">
        <v>1.0943404E7</v>
      </c>
      <c r="E195" s="10" t="str">
        <f>IF(C195&gt;percent,"YES","NO")</f>
        <v>NO</v>
      </c>
      <c r="F195" s="19">
        <v>55100.0</v>
      </c>
      <c r="G195" s="12" t="str">
        <f t="shared" si="2"/>
        <v>NOT FUNDED</v>
      </c>
      <c r="H195" s="20">
        <f t="shared" si="3"/>
        <v>1286190</v>
      </c>
      <c r="I195" s="14" t="str">
        <f t="shared" si="1"/>
        <v>Approval Threshold</v>
      </c>
    </row>
    <row r="196">
      <c r="A196" s="18" t="s">
        <v>1035</v>
      </c>
      <c r="B196" s="22">
        <v>99.0</v>
      </c>
      <c r="C196" s="9">
        <v>1.3457098E7</v>
      </c>
      <c r="D196" s="9">
        <v>1.7574832E7</v>
      </c>
      <c r="E196" s="10" t="str">
        <f>IF(C196&gt;percent,"YES","NO")</f>
        <v>NO</v>
      </c>
      <c r="F196" s="19">
        <v>60000.0</v>
      </c>
      <c r="G196" s="12" t="str">
        <f t="shared" si="2"/>
        <v>NOT FUNDED</v>
      </c>
      <c r="H196" s="20">
        <f t="shared" si="3"/>
        <v>1286190</v>
      </c>
      <c r="I196" s="14" t="str">
        <f t="shared" si="1"/>
        <v>Approval Threshold</v>
      </c>
    </row>
    <row r="197">
      <c r="A197" s="18" t="s">
        <v>1036</v>
      </c>
      <c r="B197" s="22">
        <v>118.0</v>
      </c>
      <c r="C197" s="9">
        <v>1.345219E7</v>
      </c>
      <c r="D197" s="9">
        <v>1.7129406E7</v>
      </c>
      <c r="E197" s="10" t="str">
        <f>IF(C197&gt;percent,"YES","NO")</f>
        <v>NO</v>
      </c>
      <c r="F197" s="19">
        <v>60000.0</v>
      </c>
      <c r="G197" s="12" t="str">
        <f t="shared" si="2"/>
        <v>NOT FUNDED</v>
      </c>
      <c r="H197" s="20">
        <f t="shared" si="3"/>
        <v>1286190</v>
      </c>
      <c r="I197" s="14" t="str">
        <f t="shared" si="1"/>
        <v>Approval Threshold</v>
      </c>
    </row>
    <row r="198">
      <c r="A198" s="18" t="s">
        <v>1037</v>
      </c>
      <c r="B198" s="22">
        <v>98.0</v>
      </c>
      <c r="C198" s="9">
        <v>1.3372188E7</v>
      </c>
      <c r="D198" s="9">
        <v>2.5106655E7</v>
      </c>
      <c r="E198" s="10" t="str">
        <f>IF(C198&gt;percent,"YES","NO")</f>
        <v>NO</v>
      </c>
      <c r="F198" s="19">
        <v>45620.0</v>
      </c>
      <c r="G198" s="12" t="str">
        <f t="shared" si="2"/>
        <v>NOT FUNDED</v>
      </c>
      <c r="H198" s="20">
        <f t="shared" si="3"/>
        <v>1286190</v>
      </c>
      <c r="I198" s="14" t="str">
        <f t="shared" si="1"/>
        <v>Approval Threshold</v>
      </c>
    </row>
    <row r="199">
      <c r="A199" s="18" t="s">
        <v>1038</v>
      </c>
      <c r="B199" s="22">
        <v>91.0</v>
      </c>
      <c r="C199" s="9">
        <v>1.3355905E7</v>
      </c>
      <c r="D199" s="9">
        <v>7837848.0</v>
      </c>
      <c r="E199" s="10" t="str">
        <f>IF(C199&gt;percent,"YES","NO")</f>
        <v>NO</v>
      </c>
      <c r="F199" s="19">
        <v>24900.0</v>
      </c>
      <c r="G199" s="12" t="str">
        <f t="shared" si="2"/>
        <v>NOT FUNDED</v>
      </c>
      <c r="H199" s="20">
        <f t="shared" si="3"/>
        <v>1286190</v>
      </c>
      <c r="I199" s="14" t="str">
        <f t="shared" si="1"/>
        <v>Approval Threshold</v>
      </c>
    </row>
    <row r="200">
      <c r="A200" s="18" t="s">
        <v>1039</v>
      </c>
      <c r="B200" s="22">
        <v>105.0</v>
      </c>
      <c r="C200" s="9">
        <v>1.3242936E7</v>
      </c>
      <c r="D200" s="9">
        <v>5895147.0</v>
      </c>
      <c r="E200" s="10" t="str">
        <f>IF(C200&gt;percent,"YES","NO")</f>
        <v>NO</v>
      </c>
      <c r="F200" s="19">
        <v>48500.0</v>
      </c>
      <c r="G200" s="12" t="str">
        <f t="shared" si="2"/>
        <v>NOT FUNDED</v>
      </c>
      <c r="H200" s="20">
        <f t="shared" si="3"/>
        <v>1286190</v>
      </c>
      <c r="I200" s="14" t="str">
        <f t="shared" si="1"/>
        <v>Approval Threshold</v>
      </c>
    </row>
    <row r="201">
      <c r="A201" s="18" t="s">
        <v>1040</v>
      </c>
      <c r="B201" s="22">
        <v>104.0</v>
      </c>
      <c r="C201" s="9">
        <v>1.3136329E7</v>
      </c>
      <c r="D201" s="9">
        <v>1.3293794E7</v>
      </c>
      <c r="E201" s="10" t="str">
        <f>IF(C201&gt;percent,"YES","NO")</f>
        <v>NO</v>
      </c>
      <c r="F201" s="19">
        <v>60000.0</v>
      </c>
      <c r="G201" s="12" t="str">
        <f t="shared" si="2"/>
        <v>NOT FUNDED</v>
      </c>
      <c r="H201" s="20">
        <f t="shared" si="3"/>
        <v>1286190</v>
      </c>
      <c r="I201" s="14" t="str">
        <f t="shared" si="1"/>
        <v>Approval Threshold</v>
      </c>
    </row>
    <row r="202">
      <c r="A202" s="18" t="s">
        <v>1041</v>
      </c>
      <c r="B202" s="22">
        <v>121.0</v>
      </c>
      <c r="C202" s="9">
        <v>1.3111214E7</v>
      </c>
      <c r="D202" s="9">
        <v>1.166653E7</v>
      </c>
      <c r="E202" s="10" t="str">
        <f>IF(C202&gt;percent,"YES","NO")</f>
        <v>NO</v>
      </c>
      <c r="F202" s="19">
        <v>52500.0</v>
      </c>
      <c r="G202" s="12" t="str">
        <f t="shared" si="2"/>
        <v>NOT FUNDED</v>
      </c>
      <c r="H202" s="20">
        <f t="shared" si="3"/>
        <v>1286190</v>
      </c>
      <c r="I202" s="14" t="str">
        <f t="shared" si="1"/>
        <v>Approval Threshold</v>
      </c>
    </row>
    <row r="203">
      <c r="A203" s="18" t="s">
        <v>1042</v>
      </c>
      <c r="B203" s="22">
        <v>127.0</v>
      </c>
      <c r="C203" s="9">
        <v>1.3110094E7</v>
      </c>
      <c r="D203" s="9">
        <v>1.483445E7</v>
      </c>
      <c r="E203" s="10" t="str">
        <f>IF(C203&gt;percent,"YES","NO")</f>
        <v>NO</v>
      </c>
      <c r="F203" s="19">
        <v>60000.0</v>
      </c>
      <c r="G203" s="12" t="str">
        <f t="shared" si="2"/>
        <v>NOT FUNDED</v>
      </c>
      <c r="H203" s="20">
        <f t="shared" si="3"/>
        <v>1286190</v>
      </c>
      <c r="I203" s="14" t="str">
        <f t="shared" si="1"/>
        <v>Approval Threshold</v>
      </c>
    </row>
    <row r="204">
      <c r="A204" s="18" t="s">
        <v>1043</v>
      </c>
      <c r="B204" s="22">
        <v>124.0</v>
      </c>
      <c r="C204" s="9">
        <v>1.3099049E7</v>
      </c>
      <c r="D204" s="9">
        <v>1.1622835E7</v>
      </c>
      <c r="E204" s="10" t="str">
        <f>IF(C204&gt;percent,"YES","NO")</f>
        <v>NO</v>
      </c>
      <c r="F204" s="19">
        <v>40000.0</v>
      </c>
      <c r="G204" s="12" t="str">
        <f t="shared" si="2"/>
        <v>NOT FUNDED</v>
      </c>
      <c r="H204" s="20">
        <f t="shared" si="3"/>
        <v>1286190</v>
      </c>
      <c r="I204" s="14" t="str">
        <f t="shared" si="1"/>
        <v>Approval Threshold</v>
      </c>
    </row>
    <row r="205">
      <c r="A205" s="18" t="s">
        <v>1044</v>
      </c>
      <c r="B205" s="22">
        <v>157.0</v>
      </c>
      <c r="C205" s="9">
        <v>1.2917603E7</v>
      </c>
      <c r="D205" s="9">
        <v>1.6263054E7</v>
      </c>
      <c r="E205" s="10" t="str">
        <f>IF(C205&gt;percent,"YES","NO")</f>
        <v>NO</v>
      </c>
      <c r="F205" s="19">
        <v>60000.0</v>
      </c>
      <c r="G205" s="12" t="str">
        <f t="shared" si="2"/>
        <v>NOT FUNDED</v>
      </c>
      <c r="H205" s="20">
        <f t="shared" si="3"/>
        <v>1286190</v>
      </c>
      <c r="I205" s="14" t="str">
        <f t="shared" si="1"/>
        <v>Approval Threshold</v>
      </c>
    </row>
    <row r="206">
      <c r="A206" s="18" t="s">
        <v>1045</v>
      </c>
      <c r="B206" s="22">
        <v>127.0</v>
      </c>
      <c r="C206" s="9">
        <v>1.2866018E7</v>
      </c>
      <c r="D206" s="9">
        <v>1.3291916E7</v>
      </c>
      <c r="E206" s="10" t="str">
        <f>IF(C206&gt;percent,"YES","NO")</f>
        <v>NO</v>
      </c>
      <c r="F206" s="19">
        <v>60000.0</v>
      </c>
      <c r="G206" s="12" t="str">
        <f t="shared" si="2"/>
        <v>NOT FUNDED</v>
      </c>
      <c r="H206" s="20">
        <f t="shared" si="3"/>
        <v>1286190</v>
      </c>
      <c r="I206" s="14" t="str">
        <f t="shared" si="1"/>
        <v>Approval Threshold</v>
      </c>
    </row>
    <row r="207">
      <c r="A207" s="18" t="s">
        <v>1046</v>
      </c>
      <c r="B207" s="22">
        <v>112.0</v>
      </c>
      <c r="C207" s="9">
        <v>1.2835079E7</v>
      </c>
      <c r="D207" s="9">
        <v>1.030728E7</v>
      </c>
      <c r="E207" s="10" t="str">
        <f>IF(C207&gt;percent,"YES","NO")</f>
        <v>NO</v>
      </c>
      <c r="F207" s="19">
        <v>59500.0</v>
      </c>
      <c r="G207" s="12" t="str">
        <f t="shared" si="2"/>
        <v>NOT FUNDED</v>
      </c>
      <c r="H207" s="20">
        <f t="shared" si="3"/>
        <v>1286190</v>
      </c>
      <c r="I207" s="14" t="str">
        <f t="shared" si="1"/>
        <v>Approval Threshold</v>
      </c>
    </row>
    <row r="208">
      <c r="A208" s="18" t="s">
        <v>1047</v>
      </c>
      <c r="B208" s="22">
        <v>110.0</v>
      </c>
      <c r="C208" s="9">
        <v>1.2815486E7</v>
      </c>
      <c r="D208" s="9">
        <v>1.3488468E7</v>
      </c>
      <c r="E208" s="10" t="str">
        <f>IF(C208&gt;percent,"YES","NO")</f>
        <v>NO</v>
      </c>
      <c r="F208" s="19">
        <v>60000.0</v>
      </c>
      <c r="G208" s="12" t="str">
        <f t="shared" si="2"/>
        <v>NOT FUNDED</v>
      </c>
      <c r="H208" s="20">
        <f t="shared" si="3"/>
        <v>1286190</v>
      </c>
      <c r="I208" s="14" t="str">
        <f t="shared" si="1"/>
        <v>Approval Threshold</v>
      </c>
    </row>
    <row r="209">
      <c r="A209" s="18" t="s">
        <v>1048</v>
      </c>
      <c r="B209" s="22">
        <v>107.0</v>
      </c>
      <c r="C209" s="9">
        <v>1.2738774E7</v>
      </c>
      <c r="D209" s="9">
        <v>8253442.0</v>
      </c>
      <c r="E209" s="10" t="str">
        <f>IF(C209&gt;percent,"YES","NO")</f>
        <v>NO</v>
      </c>
      <c r="F209" s="19">
        <v>35000.0</v>
      </c>
      <c r="G209" s="12" t="str">
        <f t="shared" si="2"/>
        <v>NOT FUNDED</v>
      </c>
      <c r="H209" s="20">
        <f t="shared" si="3"/>
        <v>1286190</v>
      </c>
      <c r="I209" s="14" t="str">
        <f t="shared" si="1"/>
        <v>Approval Threshold</v>
      </c>
    </row>
    <row r="210">
      <c r="A210" s="18" t="s">
        <v>1049</v>
      </c>
      <c r="B210" s="22">
        <v>108.0</v>
      </c>
      <c r="C210" s="9">
        <v>1.2703257E7</v>
      </c>
      <c r="D210" s="9">
        <v>1.3348868E7</v>
      </c>
      <c r="E210" s="10" t="str">
        <f>IF(C210&gt;percent,"YES","NO")</f>
        <v>NO</v>
      </c>
      <c r="F210" s="19">
        <v>60000.0</v>
      </c>
      <c r="G210" s="12" t="str">
        <f t="shared" si="2"/>
        <v>NOT FUNDED</v>
      </c>
      <c r="H210" s="20">
        <f t="shared" si="3"/>
        <v>1286190</v>
      </c>
      <c r="I210" s="14" t="str">
        <f t="shared" si="1"/>
        <v>Approval Threshold</v>
      </c>
    </row>
    <row r="211">
      <c r="A211" s="18" t="s">
        <v>1050</v>
      </c>
      <c r="B211" s="22">
        <v>108.0</v>
      </c>
      <c r="C211" s="9">
        <v>1.2683045E7</v>
      </c>
      <c r="D211" s="9">
        <v>3.1064692E7</v>
      </c>
      <c r="E211" s="10" t="str">
        <f>IF(C211&gt;percent,"YES","NO")</f>
        <v>NO</v>
      </c>
      <c r="F211" s="19">
        <v>60000.0</v>
      </c>
      <c r="G211" s="12" t="str">
        <f t="shared" si="2"/>
        <v>NOT FUNDED</v>
      </c>
      <c r="H211" s="20">
        <f t="shared" si="3"/>
        <v>1286190</v>
      </c>
      <c r="I211" s="14" t="str">
        <f t="shared" si="1"/>
        <v>Approval Threshold</v>
      </c>
    </row>
    <row r="212">
      <c r="A212" s="18" t="s">
        <v>1051</v>
      </c>
      <c r="B212" s="22">
        <v>120.0</v>
      </c>
      <c r="C212" s="9">
        <v>1.2653755E7</v>
      </c>
      <c r="D212" s="9">
        <v>9651207.0</v>
      </c>
      <c r="E212" s="10" t="str">
        <f>IF(C212&gt;percent,"YES","NO")</f>
        <v>NO</v>
      </c>
      <c r="F212" s="19">
        <v>36000.0</v>
      </c>
      <c r="G212" s="12" t="str">
        <f t="shared" si="2"/>
        <v>NOT FUNDED</v>
      </c>
      <c r="H212" s="20">
        <f t="shared" si="3"/>
        <v>1286190</v>
      </c>
      <c r="I212" s="14" t="str">
        <f t="shared" si="1"/>
        <v>Approval Threshold</v>
      </c>
    </row>
    <row r="213">
      <c r="A213" s="18" t="s">
        <v>1052</v>
      </c>
      <c r="B213" s="22">
        <v>113.0</v>
      </c>
      <c r="C213" s="9">
        <v>1.2487454E7</v>
      </c>
      <c r="D213" s="9">
        <v>1.3634782E7</v>
      </c>
      <c r="E213" s="10" t="str">
        <f>IF(C213&gt;percent,"YES","NO")</f>
        <v>NO</v>
      </c>
      <c r="F213" s="19">
        <v>60000.0</v>
      </c>
      <c r="G213" s="12" t="str">
        <f t="shared" si="2"/>
        <v>NOT FUNDED</v>
      </c>
      <c r="H213" s="20">
        <f t="shared" si="3"/>
        <v>1286190</v>
      </c>
      <c r="I213" s="14" t="str">
        <f t="shared" si="1"/>
        <v>Approval Threshold</v>
      </c>
    </row>
    <row r="214">
      <c r="A214" s="18" t="s">
        <v>1053</v>
      </c>
      <c r="B214" s="22">
        <v>108.0</v>
      </c>
      <c r="C214" s="9">
        <v>1.2369666E7</v>
      </c>
      <c r="D214" s="9">
        <v>1.3513572E7</v>
      </c>
      <c r="E214" s="10" t="str">
        <f>IF(C214&gt;percent,"YES","NO")</f>
        <v>NO</v>
      </c>
      <c r="F214" s="19">
        <v>60000.0</v>
      </c>
      <c r="G214" s="12" t="str">
        <f t="shared" si="2"/>
        <v>NOT FUNDED</v>
      </c>
      <c r="H214" s="20">
        <f t="shared" si="3"/>
        <v>1286190</v>
      </c>
      <c r="I214" s="14" t="str">
        <f t="shared" si="1"/>
        <v>Approval Threshold</v>
      </c>
    </row>
    <row r="215">
      <c r="A215" s="18" t="s">
        <v>1054</v>
      </c>
      <c r="B215" s="22">
        <v>111.0</v>
      </c>
      <c r="C215" s="9">
        <v>1.2259474E7</v>
      </c>
      <c r="D215" s="9">
        <v>7194210.0</v>
      </c>
      <c r="E215" s="10" t="str">
        <f>IF(C215&gt;percent,"YES","NO")</f>
        <v>NO</v>
      </c>
      <c r="F215" s="19">
        <v>59636.0</v>
      </c>
      <c r="G215" s="12" t="str">
        <f t="shared" si="2"/>
        <v>NOT FUNDED</v>
      </c>
      <c r="H215" s="20">
        <f t="shared" si="3"/>
        <v>1286190</v>
      </c>
      <c r="I215" s="14" t="str">
        <f t="shared" si="1"/>
        <v>Approval Threshold</v>
      </c>
    </row>
    <row r="216">
      <c r="A216" s="18" t="s">
        <v>1055</v>
      </c>
      <c r="B216" s="22">
        <v>103.0</v>
      </c>
      <c r="C216" s="9">
        <v>1.2161E7</v>
      </c>
      <c r="D216" s="9">
        <v>8330573.0</v>
      </c>
      <c r="E216" s="10" t="str">
        <f>IF(C216&gt;percent,"YES","NO")</f>
        <v>NO</v>
      </c>
      <c r="F216" s="19">
        <v>16000.0</v>
      </c>
      <c r="G216" s="12" t="str">
        <f t="shared" si="2"/>
        <v>NOT FUNDED</v>
      </c>
      <c r="H216" s="20">
        <f t="shared" si="3"/>
        <v>1286190</v>
      </c>
      <c r="I216" s="14" t="str">
        <f t="shared" si="1"/>
        <v>Approval Threshold</v>
      </c>
    </row>
    <row r="217">
      <c r="A217" s="18" t="s">
        <v>1056</v>
      </c>
      <c r="B217" s="22">
        <v>146.0</v>
      </c>
      <c r="C217" s="9">
        <v>1.2078293E7</v>
      </c>
      <c r="D217" s="9">
        <v>1.8055762E7</v>
      </c>
      <c r="E217" s="10" t="str">
        <f>IF(C217&gt;percent,"YES","NO")</f>
        <v>NO</v>
      </c>
      <c r="F217" s="19">
        <v>60000.0</v>
      </c>
      <c r="G217" s="12" t="str">
        <f t="shared" si="2"/>
        <v>NOT FUNDED</v>
      </c>
      <c r="H217" s="20">
        <f t="shared" si="3"/>
        <v>1286190</v>
      </c>
      <c r="I217" s="14" t="str">
        <f t="shared" si="1"/>
        <v>Approval Threshold</v>
      </c>
    </row>
    <row r="218">
      <c r="A218" s="18" t="s">
        <v>1057</v>
      </c>
      <c r="B218" s="22">
        <v>166.0</v>
      </c>
      <c r="C218" s="9">
        <v>1.2021067E7</v>
      </c>
      <c r="D218" s="9">
        <v>8177907.0</v>
      </c>
      <c r="E218" s="10" t="str">
        <f>IF(C218&gt;percent,"YES","NO")</f>
        <v>NO</v>
      </c>
      <c r="F218" s="19">
        <v>47367.0</v>
      </c>
      <c r="G218" s="12" t="str">
        <f t="shared" si="2"/>
        <v>NOT FUNDED</v>
      </c>
      <c r="H218" s="20">
        <f t="shared" si="3"/>
        <v>1286190</v>
      </c>
      <c r="I218" s="14" t="str">
        <f t="shared" si="1"/>
        <v>Approval Threshold</v>
      </c>
    </row>
    <row r="219">
      <c r="A219" s="18" t="s">
        <v>1058</v>
      </c>
      <c r="B219" s="22">
        <v>110.0</v>
      </c>
      <c r="C219" s="9">
        <v>1.2009758E7</v>
      </c>
      <c r="D219" s="9">
        <v>1.380697E7</v>
      </c>
      <c r="E219" s="10" t="str">
        <f>IF(C219&gt;percent,"YES","NO")</f>
        <v>NO</v>
      </c>
      <c r="F219" s="19">
        <v>60000.0</v>
      </c>
      <c r="G219" s="12" t="str">
        <f t="shared" si="2"/>
        <v>NOT FUNDED</v>
      </c>
      <c r="H219" s="20">
        <f t="shared" si="3"/>
        <v>1286190</v>
      </c>
      <c r="I219" s="14" t="str">
        <f t="shared" si="1"/>
        <v>Approval Threshold</v>
      </c>
    </row>
    <row r="220">
      <c r="A220" s="18" t="s">
        <v>1059</v>
      </c>
      <c r="B220" s="22">
        <v>128.0</v>
      </c>
      <c r="C220" s="9">
        <v>1.2006663E7</v>
      </c>
      <c r="D220" s="9">
        <v>1.4017715E7</v>
      </c>
      <c r="E220" s="10" t="str">
        <f>IF(C220&gt;percent,"YES","NO")</f>
        <v>NO</v>
      </c>
      <c r="F220" s="19">
        <v>60000.0</v>
      </c>
      <c r="G220" s="12" t="str">
        <f t="shared" si="2"/>
        <v>NOT FUNDED</v>
      </c>
      <c r="H220" s="20">
        <f t="shared" si="3"/>
        <v>1286190</v>
      </c>
      <c r="I220" s="14" t="str">
        <f t="shared" si="1"/>
        <v>Approval Threshold</v>
      </c>
    </row>
    <row r="221">
      <c r="A221" s="18" t="s">
        <v>1060</v>
      </c>
      <c r="B221" s="22">
        <v>111.0</v>
      </c>
      <c r="C221" s="9">
        <v>1.1971983E7</v>
      </c>
      <c r="D221" s="9">
        <v>1.5961775E7</v>
      </c>
      <c r="E221" s="10" t="str">
        <f>IF(C221&gt;percent,"YES","NO")</f>
        <v>NO</v>
      </c>
      <c r="F221" s="19">
        <v>60000.0</v>
      </c>
      <c r="G221" s="12" t="str">
        <f t="shared" si="2"/>
        <v>NOT FUNDED</v>
      </c>
      <c r="H221" s="20">
        <f t="shared" si="3"/>
        <v>1286190</v>
      </c>
      <c r="I221" s="14" t="str">
        <f t="shared" si="1"/>
        <v>Approval Threshold</v>
      </c>
    </row>
    <row r="222">
      <c r="A222" s="18" t="s">
        <v>1061</v>
      </c>
      <c r="B222" s="22">
        <v>109.0</v>
      </c>
      <c r="C222" s="9">
        <v>1.195196E7</v>
      </c>
      <c r="D222" s="9">
        <v>7036852.0</v>
      </c>
      <c r="E222" s="10" t="str">
        <f>IF(C222&gt;percent,"YES","NO")</f>
        <v>NO</v>
      </c>
      <c r="F222" s="19">
        <v>50000.0</v>
      </c>
      <c r="G222" s="12" t="str">
        <f t="shared" si="2"/>
        <v>NOT FUNDED</v>
      </c>
      <c r="H222" s="20">
        <f t="shared" si="3"/>
        <v>1286190</v>
      </c>
      <c r="I222" s="14" t="str">
        <f t="shared" si="1"/>
        <v>Approval Threshold</v>
      </c>
    </row>
    <row r="223">
      <c r="A223" s="18" t="s">
        <v>1062</v>
      </c>
      <c r="B223" s="22">
        <v>105.0</v>
      </c>
      <c r="C223" s="9">
        <v>1.1939452E7</v>
      </c>
      <c r="D223" s="9">
        <v>1.3052705E7</v>
      </c>
      <c r="E223" s="10" t="str">
        <f>IF(C223&gt;percent,"YES","NO")</f>
        <v>NO</v>
      </c>
      <c r="F223" s="19">
        <v>59400.0</v>
      </c>
      <c r="G223" s="12" t="str">
        <f t="shared" si="2"/>
        <v>NOT FUNDED</v>
      </c>
      <c r="H223" s="20">
        <f t="shared" si="3"/>
        <v>1286190</v>
      </c>
      <c r="I223" s="14" t="str">
        <f t="shared" si="1"/>
        <v>Approval Threshold</v>
      </c>
    </row>
    <row r="224">
      <c r="A224" s="18" t="s">
        <v>1063</v>
      </c>
      <c r="B224" s="22">
        <v>134.0</v>
      </c>
      <c r="C224" s="9">
        <v>1.1877471E7</v>
      </c>
      <c r="D224" s="9">
        <v>1.2449221E7</v>
      </c>
      <c r="E224" s="10" t="str">
        <f>IF(C224&gt;percent,"YES","NO")</f>
        <v>NO</v>
      </c>
      <c r="F224" s="19">
        <v>19000.0</v>
      </c>
      <c r="G224" s="12" t="str">
        <f t="shared" si="2"/>
        <v>NOT FUNDED</v>
      </c>
      <c r="H224" s="20">
        <f t="shared" si="3"/>
        <v>1286190</v>
      </c>
      <c r="I224" s="14" t="str">
        <f t="shared" si="1"/>
        <v>Approval Threshold</v>
      </c>
    </row>
    <row r="225">
      <c r="A225" s="18" t="s">
        <v>1064</v>
      </c>
      <c r="B225" s="22">
        <v>150.0</v>
      </c>
      <c r="C225" s="9">
        <v>1.1788657E7</v>
      </c>
      <c r="D225" s="9">
        <v>1.0852831E7</v>
      </c>
      <c r="E225" s="10" t="str">
        <f>IF(C225&gt;percent,"YES","NO")</f>
        <v>NO</v>
      </c>
      <c r="F225" s="19">
        <v>38340.0</v>
      </c>
      <c r="G225" s="12" t="str">
        <f t="shared" si="2"/>
        <v>NOT FUNDED</v>
      </c>
      <c r="H225" s="20">
        <f t="shared" si="3"/>
        <v>1286190</v>
      </c>
      <c r="I225" s="14" t="str">
        <f t="shared" si="1"/>
        <v>Approval Threshold</v>
      </c>
    </row>
    <row r="226">
      <c r="A226" s="18" t="s">
        <v>1065</v>
      </c>
      <c r="B226" s="22">
        <v>89.0</v>
      </c>
      <c r="C226" s="9">
        <v>1.1765547E7</v>
      </c>
      <c r="D226" s="9">
        <v>6113415.0</v>
      </c>
      <c r="E226" s="10" t="str">
        <f>IF(C226&gt;percent,"YES","NO")</f>
        <v>NO</v>
      </c>
      <c r="F226" s="19">
        <v>22000.0</v>
      </c>
      <c r="G226" s="12" t="str">
        <f t="shared" si="2"/>
        <v>NOT FUNDED</v>
      </c>
      <c r="H226" s="20">
        <f t="shared" si="3"/>
        <v>1286190</v>
      </c>
      <c r="I226" s="14" t="str">
        <f t="shared" si="1"/>
        <v>Approval Threshold</v>
      </c>
    </row>
    <row r="227">
      <c r="A227" s="18" t="s">
        <v>1066</v>
      </c>
      <c r="B227" s="22">
        <v>114.0</v>
      </c>
      <c r="C227" s="9">
        <v>1.1755154E7</v>
      </c>
      <c r="D227" s="9">
        <v>1.0247585E7</v>
      </c>
      <c r="E227" s="10" t="str">
        <f>IF(C227&gt;percent,"YES","NO")</f>
        <v>NO</v>
      </c>
      <c r="F227" s="19">
        <v>40000.0</v>
      </c>
      <c r="G227" s="12" t="str">
        <f t="shared" si="2"/>
        <v>NOT FUNDED</v>
      </c>
      <c r="H227" s="20">
        <f t="shared" si="3"/>
        <v>1286190</v>
      </c>
      <c r="I227" s="14" t="str">
        <f t="shared" si="1"/>
        <v>Approval Threshold</v>
      </c>
    </row>
    <row r="228">
      <c r="A228" s="18" t="s">
        <v>1067</v>
      </c>
      <c r="B228" s="22">
        <v>114.0</v>
      </c>
      <c r="C228" s="9">
        <v>1.1747672E7</v>
      </c>
      <c r="D228" s="9">
        <v>2.2028727E7</v>
      </c>
      <c r="E228" s="10" t="str">
        <f>IF(C228&gt;percent,"YES","NO")</f>
        <v>NO</v>
      </c>
      <c r="F228" s="19">
        <v>22000.0</v>
      </c>
      <c r="G228" s="12" t="str">
        <f t="shared" si="2"/>
        <v>NOT FUNDED</v>
      </c>
      <c r="H228" s="20">
        <f t="shared" si="3"/>
        <v>1286190</v>
      </c>
      <c r="I228" s="14" t="str">
        <f t="shared" si="1"/>
        <v>Approval Threshold</v>
      </c>
    </row>
    <row r="229">
      <c r="A229" s="18" t="s">
        <v>1068</v>
      </c>
      <c r="B229" s="22">
        <v>112.0</v>
      </c>
      <c r="C229" s="9">
        <v>1.1746746E7</v>
      </c>
      <c r="D229" s="9">
        <v>1.4134324E7</v>
      </c>
      <c r="E229" s="10" t="str">
        <f>IF(C229&gt;percent,"YES","NO")</f>
        <v>NO</v>
      </c>
      <c r="F229" s="19">
        <v>30714.0</v>
      </c>
      <c r="G229" s="12" t="str">
        <f t="shared" si="2"/>
        <v>NOT FUNDED</v>
      </c>
      <c r="H229" s="20">
        <f t="shared" si="3"/>
        <v>1286190</v>
      </c>
      <c r="I229" s="14" t="str">
        <f t="shared" si="1"/>
        <v>Approval Threshold</v>
      </c>
    </row>
    <row r="230">
      <c r="A230" s="18" t="s">
        <v>1069</v>
      </c>
      <c r="B230" s="22">
        <v>102.0</v>
      </c>
      <c r="C230" s="9">
        <v>1.1735589E7</v>
      </c>
      <c r="D230" s="9">
        <v>9486438.0</v>
      </c>
      <c r="E230" s="10" t="str">
        <f>IF(C230&gt;percent,"YES","NO")</f>
        <v>NO</v>
      </c>
      <c r="F230" s="19">
        <v>53000.0</v>
      </c>
      <c r="G230" s="12" t="str">
        <f t="shared" si="2"/>
        <v>NOT FUNDED</v>
      </c>
      <c r="H230" s="20">
        <f t="shared" si="3"/>
        <v>1286190</v>
      </c>
      <c r="I230" s="14" t="str">
        <f t="shared" si="1"/>
        <v>Approval Threshold</v>
      </c>
    </row>
    <row r="231">
      <c r="A231" s="18" t="s">
        <v>1070</v>
      </c>
      <c r="B231" s="22">
        <v>104.0</v>
      </c>
      <c r="C231" s="9">
        <v>1.1693905E7</v>
      </c>
      <c r="D231" s="9">
        <v>6205840.0</v>
      </c>
      <c r="E231" s="10" t="str">
        <f>IF(C231&gt;percent,"YES","NO")</f>
        <v>NO</v>
      </c>
      <c r="F231" s="19">
        <v>23000.0</v>
      </c>
      <c r="G231" s="12" t="str">
        <f t="shared" si="2"/>
        <v>NOT FUNDED</v>
      </c>
      <c r="H231" s="20">
        <f t="shared" si="3"/>
        <v>1286190</v>
      </c>
      <c r="I231" s="14" t="str">
        <f t="shared" si="1"/>
        <v>Approval Threshold</v>
      </c>
    </row>
    <row r="232">
      <c r="A232" s="18" t="s">
        <v>1071</v>
      </c>
      <c r="B232" s="22">
        <v>102.0</v>
      </c>
      <c r="C232" s="9">
        <v>1.169279E7</v>
      </c>
      <c r="D232" s="9">
        <v>1.4517088E7</v>
      </c>
      <c r="E232" s="10" t="str">
        <f>IF(C232&gt;percent,"YES","NO")</f>
        <v>NO</v>
      </c>
      <c r="F232" s="19">
        <v>60000.0</v>
      </c>
      <c r="G232" s="12" t="str">
        <f t="shared" si="2"/>
        <v>NOT FUNDED</v>
      </c>
      <c r="H232" s="20">
        <f t="shared" si="3"/>
        <v>1286190</v>
      </c>
      <c r="I232" s="14" t="str">
        <f t="shared" si="1"/>
        <v>Approval Threshold</v>
      </c>
    </row>
    <row r="233">
      <c r="A233" s="18" t="s">
        <v>1072</v>
      </c>
      <c r="B233" s="22">
        <v>101.0</v>
      </c>
      <c r="C233" s="9">
        <v>1.1689153E7</v>
      </c>
      <c r="D233" s="9">
        <v>7408281.0</v>
      </c>
      <c r="E233" s="10" t="str">
        <f>IF(C233&gt;percent,"YES","NO")</f>
        <v>NO</v>
      </c>
      <c r="F233" s="19">
        <v>16100.0</v>
      </c>
      <c r="G233" s="12" t="str">
        <f t="shared" si="2"/>
        <v>NOT FUNDED</v>
      </c>
      <c r="H233" s="20">
        <f t="shared" si="3"/>
        <v>1286190</v>
      </c>
      <c r="I233" s="14" t="str">
        <f t="shared" si="1"/>
        <v>Approval Threshold</v>
      </c>
    </row>
    <row r="234">
      <c r="A234" s="18" t="s">
        <v>1073</v>
      </c>
      <c r="B234" s="22">
        <v>107.0</v>
      </c>
      <c r="C234" s="9">
        <v>1.1582789E7</v>
      </c>
      <c r="D234" s="9">
        <v>7389366.0</v>
      </c>
      <c r="E234" s="10" t="str">
        <f>IF(C234&gt;percent,"YES","NO")</f>
        <v>NO</v>
      </c>
      <c r="F234" s="19">
        <v>35000.0</v>
      </c>
      <c r="G234" s="12" t="str">
        <f t="shared" si="2"/>
        <v>NOT FUNDED</v>
      </c>
      <c r="H234" s="20">
        <f t="shared" si="3"/>
        <v>1286190</v>
      </c>
      <c r="I234" s="14" t="str">
        <f t="shared" si="1"/>
        <v>Approval Threshold</v>
      </c>
    </row>
    <row r="235">
      <c r="A235" s="18" t="s">
        <v>1074</v>
      </c>
      <c r="B235" s="22">
        <v>116.0</v>
      </c>
      <c r="C235" s="9">
        <v>1.1528208E7</v>
      </c>
      <c r="D235" s="9">
        <v>1.2917266E7</v>
      </c>
      <c r="E235" s="10" t="str">
        <f>IF(C235&gt;percent,"YES","NO")</f>
        <v>NO</v>
      </c>
      <c r="F235" s="19">
        <v>60000.0</v>
      </c>
      <c r="G235" s="12" t="str">
        <f t="shared" si="2"/>
        <v>NOT FUNDED</v>
      </c>
      <c r="H235" s="20">
        <f t="shared" si="3"/>
        <v>1286190</v>
      </c>
      <c r="I235" s="14" t="str">
        <f t="shared" si="1"/>
        <v>Approval Threshold</v>
      </c>
    </row>
    <row r="236">
      <c r="A236" s="18" t="s">
        <v>1075</v>
      </c>
      <c r="B236" s="22">
        <v>96.0</v>
      </c>
      <c r="C236" s="9">
        <v>1.1426938E7</v>
      </c>
      <c r="D236" s="9">
        <v>1.1088325E7</v>
      </c>
      <c r="E236" s="10" t="str">
        <f>IF(C236&gt;percent,"YES","NO")</f>
        <v>NO</v>
      </c>
      <c r="F236" s="19">
        <v>60000.0</v>
      </c>
      <c r="G236" s="12" t="str">
        <f t="shared" si="2"/>
        <v>NOT FUNDED</v>
      </c>
      <c r="H236" s="20">
        <f t="shared" si="3"/>
        <v>1286190</v>
      </c>
      <c r="I236" s="14" t="str">
        <f t="shared" si="1"/>
        <v>Approval Threshold</v>
      </c>
    </row>
    <row r="237">
      <c r="A237" s="18" t="s">
        <v>1076</v>
      </c>
      <c r="B237" s="22">
        <v>130.0</v>
      </c>
      <c r="C237" s="9">
        <v>1.1414559E7</v>
      </c>
      <c r="D237" s="9">
        <v>1.1658501E7</v>
      </c>
      <c r="E237" s="10" t="str">
        <f>IF(C237&gt;percent,"YES","NO")</f>
        <v>NO</v>
      </c>
      <c r="F237" s="19">
        <v>48000.0</v>
      </c>
      <c r="G237" s="12" t="str">
        <f t="shared" si="2"/>
        <v>NOT FUNDED</v>
      </c>
      <c r="H237" s="20">
        <f t="shared" si="3"/>
        <v>1286190</v>
      </c>
      <c r="I237" s="14" t="str">
        <f t="shared" si="1"/>
        <v>Approval Threshold</v>
      </c>
    </row>
    <row r="238">
      <c r="A238" s="18" t="s">
        <v>1077</v>
      </c>
      <c r="B238" s="22">
        <v>118.0</v>
      </c>
      <c r="C238" s="9">
        <v>1.1350845E7</v>
      </c>
      <c r="D238" s="9">
        <v>1.1337999E7</v>
      </c>
      <c r="E238" s="10" t="str">
        <f>IF(C238&gt;percent,"YES","NO")</f>
        <v>NO</v>
      </c>
      <c r="F238" s="19">
        <v>18000.0</v>
      </c>
      <c r="G238" s="12" t="str">
        <f t="shared" si="2"/>
        <v>NOT FUNDED</v>
      </c>
      <c r="H238" s="20">
        <f t="shared" si="3"/>
        <v>1286190</v>
      </c>
      <c r="I238" s="14" t="str">
        <f t="shared" si="1"/>
        <v>Approval Threshold</v>
      </c>
    </row>
    <row r="239">
      <c r="A239" s="18" t="s">
        <v>1078</v>
      </c>
      <c r="B239" s="22">
        <v>120.0</v>
      </c>
      <c r="C239" s="9">
        <v>1.1185893E7</v>
      </c>
      <c r="D239" s="9">
        <v>1.8260558E7</v>
      </c>
      <c r="E239" s="10" t="str">
        <f>IF(C239&gt;percent,"YES","NO")</f>
        <v>NO</v>
      </c>
      <c r="F239" s="19">
        <v>60000.0</v>
      </c>
      <c r="G239" s="12" t="str">
        <f t="shared" si="2"/>
        <v>NOT FUNDED</v>
      </c>
      <c r="H239" s="20">
        <f t="shared" si="3"/>
        <v>1286190</v>
      </c>
      <c r="I239" s="14" t="str">
        <f t="shared" si="1"/>
        <v>Approval Threshold</v>
      </c>
    </row>
    <row r="240">
      <c r="A240" s="18" t="s">
        <v>1079</v>
      </c>
      <c r="B240" s="22">
        <v>110.0</v>
      </c>
      <c r="C240" s="9">
        <v>1.1159947E7</v>
      </c>
      <c r="D240" s="9">
        <v>1.752677E7</v>
      </c>
      <c r="E240" s="10" t="str">
        <f>IF(C240&gt;percent,"YES","NO")</f>
        <v>NO</v>
      </c>
      <c r="F240" s="19">
        <v>60000.0</v>
      </c>
      <c r="G240" s="12" t="str">
        <f t="shared" si="2"/>
        <v>NOT FUNDED</v>
      </c>
      <c r="H240" s="20">
        <f t="shared" si="3"/>
        <v>1286190</v>
      </c>
      <c r="I240" s="14" t="str">
        <f t="shared" si="1"/>
        <v>Approval Threshold</v>
      </c>
    </row>
    <row r="241">
      <c r="A241" s="18" t="s">
        <v>1080</v>
      </c>
      <c r="B241" s="22">
        <v>106.0</v>
      </c>
      <c r="C241" s="9">
        <v>1.105681E7</v>
      </c>
      <c r="D241" s="9">
        <v>5705342.0</v>
      </c>
      <c r="E241" s="10" t="str">
        <f>IF(C241&gt;percent,"YES","NO")</f>
        <v>NO</v>
      </c>
      <c r="F241" s="19">
        <v>58400.0</v>
      </c>
      <c r="G241" s="12" t="str">
        <f t="shared" si="2"/>
        <v>NOT FUNDED</v>
      </c>
      <c r="H241" s="20">
        <f t="shared" si="3"/>
        <v>1286190</v>
      </c>
      <c r="I241" s="14" t="str">
        <f t="shared" si="1"/>
        <v>Approval Threshold</v>
      </c>
    </row>
    <row r="242">
      <c r="A242" s="18" t="s">
        <v>1081</v>
      </c>
      <c r="B242" s="22">
        <v>105.0</v>
      </c>
      <c r="C242" s="9">
        <v>1.1050272E7</v>
      </c>
      <c r="D242" s="9">
        <v>1.1003194E7</v>
      </c>
      <c r="E242" s="10" t="str">
        <f>IF(C242&gt;percent,"YES","NO")</f>
        <v>NO</v>
      </c>
      <c r="F242" s="19">
        <v>36000.0</v>
      </c>
      <c r="G242" s="12" t="str">
        <f t="shared" si="2"/>
        <v>NOT FUNDED</v>
      </c>
      <c r="H242" s="20">
        <f t="shared" si="3"/>
        <v>1286190</v>
      </c>
      <c r="I242" s="14" t="str">
        <f t="shared" si="1"/>
        <v>Approval Threshold</v>
      </c>
    </row>
    <row r="243">
      <c r="A243" s="18" t="s">
        <v>1082</v>
      </c>
      <c r="B243" s="22">
        <v>142.0</v>
      </c>
      <c r="C243" s="9">
        <v>1.0997648E7</v>
      </c>
      <c r="D243" s="9">
        <v>1.4201799E7</v>
      </c>
      <c r="E243" s="10" t="str">
        <f>IF(C243&gt;percent,"YES","NO")</f>
        <v>NO</v>
      </c>
      <c r="F243" s="19">
        <v>38740.0</v>
      </c>
      <c r="G243" s="12" t="str">
        <f t="shared" si="2"/>
        <v>NOT FUNDED</v>
      </c>
      <c r="H243" s="20">
        <f t="shared" si="3"/>
        <v>1286190</v>
      </c>
      <c r="I243" s="14" t="str">
        <f t="shared" si="1"/>
        <v>Approval Threshold</v>
      </c>
    </row>
    <row r="244">
      <c r="A244" s="18" t="s">
        <v>1083</v>
      </c>
      <c r="B244" s="22">
        <v>133.0</v>
      </c>
      <c r="C244" s="9">
        <v>1.095904E7</v>
      </c>
      <c r="D244" s="9">
        <v>1.0786725E7</v>
      </c>
      <c r="E244" s="10" t="str">
        <f>IF(C244&gt;percent,"YES","NO")</f>
        <v>NO</v>
      </c>
      <c r="F244" s="19">
        <v>58000.0</v>
      </c>
      <c r="G244" s="12" t="str">
        <f t="shared" si="2"/>
        <v>NOT FUNDED</v>
      </c>
      <c r="H244" s="20">
        <f t="shared" si="3"/>
        <v>1286190</v>
      </c>
      <c r="I244" s="14" t="str">
        <f t="shared" si="1"/>
        <v>Approval Threshold</v>
      </c>
    </row>
    <row r="245">
      <c r="A245" s="18" t="s">
        <v>1084</v>
      </c>
      <c r="B245" s="22">
        <v>110.0</v>
      </c>
      <c r="C245" s="9">
        <v>1.0932503E7</v>
      </c>
      <c r="D245" s="9">
        <v>3.2447562E7</v>
      </c>
      <c r="E245" s="10" t="str">
        <f>IF(C245&gt;percent,"YES","NO")</f>
        <v>NO</v>
      </c>
      <c r="F245" s="19">
        <v>60000.0</v>
      </c>
      <c r="G245" s="12" t="str">
        <f t="shared" si="2"/>
        <v>NOT FUNDED</v>
      </c>
      <c r="H245" s="20">
        <f t="shared" si="3"/>
        <v>1286190</v>
      </c>
      <c r="I245" s="14" t="str">
        <f t="shared" si="1"/>
        <v>Approval Threshold</v>
      </c>
    </row>
    <row r="246">
      <c r="A246" s="18" t="s">
        <v>1085</v>
      </c>
      <c r="B246" s="22">
        <v>121.0</v>
      </c>
      <c r="C246" s="9">
        <v>1.0856314E7</v>
      </c>
      <c r="D246" s="9">
        <v>2.4923625E7</v>
      </c>
      <c r="E246" s="10" t="str">
        <f>IF(C246&gt;percent,"YES","NO")</f>
        <v>NO</v>
      </c>
      <c r="F246" s="19">
        <v>33000.0</v>
      </c>
      <c r="G246" s="12" t="str">
        <f t="shared" si="2"/>
        <v>NOT FUNDED</v>
      </c>
      <c r="H246" s="20">
        <f t="shared" si="3"/>
        <v>1286190</v>
      </c>
      <c r="I246" s="14" t="str">
        <f t="shared" si="1"/>
        <v>Approval Threshold</v>
      </c>
    </row>
    <row r="247">
      <c r="A247" s="18" t="s">
        <v>1086</v>
      </c>
      <c r="B247" s="22">
        <v>128.0</v>
      </c>
      <c r="C247" s="9">
        <v>1.084145E7</v>
      </c>
      <c r="D247" s="9">
        <v>1.1676196E7</v>
      </c>
      <c r="E247" s="10" t="str">
        <f>IF(C247&gt;percent,"YES","NO")</f>
        <v>NO</v>
      </c>
      <c r="F247" s="19">
        <v>60000.0</v>
      </c>
      <c r="G247" s="12" t="str">
        <f t="shared" si="2"/>
        <v>NOT FUNDED</v>
      </c>
      <c r="H247" s="20">
        <f t="shared" si="3"/>
        <v>1286190</v>
      </c>
      <c r="I247" s="14" t="str">
        <f t="shared" si="1"/>
        <v>Approval Threshold</v>
      </c>
    </row>
    <row r="248">
      <c r="A248" s="18" t="s">
        <v>1087</v>
      </c>
      <c r="B248" s="22">
        <v>117.0</v>
      </c>
      <c r="C248" s="9">
        <v>1.0789488E7</v>
      </c>
      <c r="D248" s="9">
        <v>1.3555742E7</v>
      </c>
      <c r="E248" s="10" t="str">
        <f>IF(C248&gt;percent,"YES","NO")</f>
        <v>NO</v>
      </c>
      <c r="F248" s="19">
        <v>60000.0</v>
      </c>
      <c r="G248" s="12" t="str">
        <f t="shared" si="2"/>
        <v>NOT FUNDED</v>
      </c>
      <c r="H248" s="20">
        <f t="shared" si="3"/>
        <v>1286190</v>
      </c>
      <c r="I248" s="14" t="str">
        <f t="shared" si="1"/>
        <v>Approval Threshold</v>
      </c>
    </row>
    <row r="249">
      <c r="A249" s="18" t="s">
        <v>1088</v>
      </c>
      <c r="B249" s="22">
        <v>100.0</v>
      </c>
      <c r="C249" s="9">
        <v>1.0743876E7</v>
      </c>
      <c r="D249" s="9">
        <v>7878249.0</v>
      </c>
      <c r="E249" s="10" t="str">
        <f>IF(C249&gt;percent,"YES","NO")</f>
        <v>NO</v>
      </c>
      <c r="F249" s="19">
        <v>24000.0</v>
      </c>
      <c r="G249" s="12" t="str">
        <f t="shared" si="2"/>
        <v>NOT FUNDED</v>
      </c>
      <c r="H249" s="20">
        <f t="shared" si="3"/>
        <v>1286190</v>
      </c>
      <c r="I249" s="14" t="str">
        <f t="shared" si="1"/>
        <v>Approval Threshold</v>
      </c>
    </row>
    <row r="250">
      <c r="A250" s="18" t="s">
        <v>1089</v>
      </c>
      <c r="B250" s="22">
        <v>117.0</v>
      </c>
      <c r="C250" s="9">
        <v>1.0727609E7</v>
      </c>
      <c r="D250" s="9">
        <v>5319134.0</v>
      </c>
      <c r="E250" s="10" t="str">
        <f>IF(C250&gt;percent,"YES","NO")</f>
        <v>NO</v>
      </c>
      <c r="F250" s="19">
        <v>17000.0</v>
      </c>
      <c r="G250" s="12" t="str">
        <f t="shared" si="2"/>
        <v>NOT FUNDED</v>
      </c>
      <c r="H250" s="20">
        <f t="shared" si="3"/>
        <v>1286190</v>
      </c>
      <c r="I250" s="14" t="str">
        <f t="shared" si="1"/>
        <v>Approval Threshold</v>
      </c>
    </row>
    <row r="251">
      <c r="A251" s="18" t="s">
        <v>1090</v>
      </c>
      <c r="B251" s="22">
        <v>103.0</v>
      </c>
      <c r="C251" s="9">
        <v>1.0727131E7</v>
      </c>
      <c r="D251" s="9">
        <v>1.1267885E7</v>
      </c>
      <c r="E251" s="10" t="str">
        <f>IF(C251&gt;percent,"YES","NO")</f>
        <v>NO</v>
      </c>
      <c r="F251" s="19">
        <v>29500.0</v>
      </c>
      <c r="G251" s="12" t="str">
        <f t="shared" si="2"/>
        <v>NOT FUNDED</v>
      </c>
      <c r="H251" s="20">
        <f t="shared" si="3"/>
        <v>1286190</v>
      </c>
      <c r="I251" s="14" t="str">
        <f t="shared" si="1"/>
        <v>Approval Threshold</v>
      </c>
    </row>
    <row r="252">
      <c r="A252" s="18" t="s">
        <v>1091</v>
      </c>
      <c r="B252" s="22">
        <v>107.0</v>
      </c>
      <c r="C252" s="9">
        <v>1.0716861E7</v>
      </c>
      <c r="D252" s="9">
        <v>1.0096995E7</v>
      </c>
      <c r="E252" s="10" t="str">
        <f>IF(C252&gt;percent,"YES","NO")</f>
        <v>NO</v>
      </c>
      <c r="F252" s="19">
        <v>32500.0</v>
      </c>
      <c r="G252" s="12" t="str">
        <f t="shared" si="2"/>
        <v>NOT FUNDED</v>
      </c>
      <c r="H252" s="20">
        <f t="shared" si="3"/>
        <v>1286190</v>
      </c>
      <c r="I252" s="14" t="str">
        <f t="shared" si="1"/>
        <v>Approval Threshold</v>
      </c>
    </row>
    <row r="253">
      <c r="A253" s="18" t="s">
        <v>1092</v>
      </c>
      <c r="B253" s="22">
        <v>122.0</v>
      </c>
      <c r="C253" s="9">
        <v>1.0716754E7</v>
      </c>
      <c r="D253" s="9">
        <v>1.274412E7</v>
      </c>
      <c r="E253" s="10" t="str">
        <f>IF(C253&gt;percent,"YES","NO")</f>
        <v>NO</v>
      </c>
      <c r="F253" s="19">
        <v>60000.0</v>
      </c>
      <c r="G253" s="12" t="str">
        <f t="shared" si="2"/>
        <v>NOT FUNDED</v>
      </c>
      <c r="H253" s="20">
        <f t="shared" si="3"/>
        <v>1286190</v>
      </c>
      <c r="I253" s="14" t="str">
        <f t="shared" si="1"/>
        <v>Approval Threshold</v>
      </c>
    </row>
    <row r="254">
      <c r="A254" s="18" t="s">
        <v>1093</v>
      </c>
      <c r="B254" s="22">
        <v>114.0</v>
      </c>
      <c r="C254" s="9">
        <v>1.0709764E7</v>
      </c>
      <c r="D254" s="9">
        <v>1.4531594E7</v>
      </c>
      <c r="E254" s="10" t="str">
        <f>IF(C254&gt;percent,"YES","NO")</f>
        <v>NO</v>
      </c>
      <c r="F254" s="19">
        <v>15000.0</v>
      </c>
      <c r="G254" s="12" t="str">
        <f t="shared" si="2"/>
        <v>NOT FUNDED</v>
      </c>
      <c r="H254" s="20">
        <f t="shared" si="3"/>
        <v>1286190</v>
      </c>
      <c r="I254" s="14" t="str">
        <f t="shared" si="1"/>
        <v>Approval Threshold</v>
      </c>
    </row>
    <row r="255">
      <c r="A255" s="18" t="s">
        <v>1094</v>
      </c>
      <c r="B255" s="22">
        <v>112.0</v>
      </c>
      <c r="C255" s="9">
        <v>1.0695851E7</v>
      </c>
      <c r="D255" s="9">
        <v>1.2068174E7</v>
      </c>
      <c r="E255" s="10" t="str">
        <f>IF(C255&gt;percent,"YES","NO")</f>
        <v>NO</v>
      </c>
      <c r="F255" s="19">
        <v>45000.0</v>
      </c>
      <c r="G255" s="12" t="str">
        <f t="shared" si="2"/>
        <v>NOT FUNDED</v>
      </c>
      <c r="H255" s="20">
        <f t="shared" si="3"/>
        <v>1286190</v>
      </c>
      <c r="I255" s="14" t="str">
        <f t="shared" si="1"/>
        <v>Approval Threshold</v>
      </c>
    </row>
    <row r="256">
      <c r="A256" s="18" t="s">
        <v>1095</v>
      </c>
      <c r="B256" s="22">
        <v>100.0</v>
      </c>
      <c r="C256" s="9">
        <v>1.0691229E7</v>
      </c>
      <c r="D256" s="9">
        <v>6869689.0</v>
      </c>
      <c r="E256" s="10" t="str">
        <f>IF(C256&gt;percent,"YES","NO")</f>
        <v>NO</v>
      </c>
      <c r="F256" s="19">
        <v>35000.0</v>
      </c>
      <c r="G256" s="12" t="str">
        <f t="shared" si="2"/>
        <v>NOT FUNDED</v>
      </c>
      <c r="H256" s="20">
        <f t="shared" si="3"/>
        <v>1286190</v>
      </c>
      <c r="I256" s="14" t="str">
        <f t="shared" si="1"/>
        <v>Approval Threshold</v>
      </c>
    </row>
    <row r="257">
      <c r="A257" s="18" t="s">
        <v>1096</v>
      </c>
      <c r="B257" s="22">
        <v>148.0</v>
      </c>
      <c r="C257" s="9">
        <v>1.063143E7</v>
      </c>
      <c r="D257" s="9">
        <v>1.2150622E7</v>
      </c>
      <c r="E257" s="10" t="str">
        <f>IF(C257&gt;percent,"YES","NO")</f>
        <v>NO</v>
      </c>
      <c r="F257" s="19">
        <v>55125.0</v>
      </c>
      <c r="G257" s="12" t="str">
        <f t="shared" si="2"/>
        <v>NOT FUNDED</v>
      </c>
      <c r="H257" s="20">
        <f t="shared" si="3"/>
        <v>1286190</v>
      </c>
      <c r="I257" s="14" t="str">
        <f t="shared" si="1"/>
        <v>Approval Threshold</v>
      </c>
    </row>
    <row r="258">
      <c r="A258" s="18" t="s">
        <v>1097</v>
      </c>
      <c r="B258" s="22">
        <v>107.0</v>
      </c>
      <c r="C258" s="9">
        <v>1.0628804E7</v>
      </c>
      <c r="D258" s="9">
        <v>1.1382467E7</v>
      </c>
      <c r="E258" s="10" t="str">
        <f>IF(C258&gt;percent,"YES","NO")</f>
        <v>NO</v>
      </c>
      <c r="F258" s="19">
        <v>55000.0</v>
      </c>
      <c r="G258" s="12" t="str">
        <f t="shared" si="2"/>
        <v>NOT FUNDED</v>
      </c>
      <c r="H258" s="20">
        <f t="shared" si="3"/>
        <v>1286190</v>
      </c>
      <c r="I258" s="14" t="str">
        <f t="shared" si="1"/>
        <v>Approval Threshold</v>
      </c>
    </row>
    <row r="259">
      <c r="A259" s="18" t="s">
        <v>1098</v>
      </c>
      <c r="B259" s="22">
        <v>103.0</v>
      </c>
      <c r="C259" s="9">
        <v>1.06063E7</v>
      </c>
      <c r="D259" s="9">
        <v>2.3279715E7</v>
      </c>
      <c r="E259" s="10" t="str">
        <f>IF(C259&gt;percent,"YES","NO")</f>
        <v>NO</v>
      </c>
      <c r="F259" s="19">
        <v>30000.0</v>
      </c>
      <c r="G259" s="12" t="str">
        <f t="shared" si="2"/>
        <v>NOT FUNDED</v>
      </c>
      <c r="H259" s="20">
        <f t="shared" si="3"/>
        <v>1286190</v>
      </c>
      <c r="I259" s="14" t="str">
        <f t="shared" si="1"/>
        <v>Approval Threshold</v>
      </c>
    </row>
    <row r="260">
      <c r="A260" s="18" t="s">
        <v>1099</v>
      </c>
      <c r="B260" s="22">
        <v>103.0</v>
      </c>
      <c r="C260" s="9">
        <v>1.0572848E7</v>
      </c>
      <c r="D260" s="9">
        <v>2.292707E7</v>
      </c>
      <c r="E260" s="10" t="str">
        <f>IF(C260&gt;percent,"YES","NO")</f>
        <v>NO</v>
      </c>
      <c r="F260" s="19">
        <v>50000.0</v>
      </c>
      <c r="G260" s="12" t="str">
        <f t="shared" si="2"/>
        <v>NOT FUNDED</v>
      </c>
      <c r="H260" s="20">
        <f t="shared" si="3"/>
        <v>1286190</v>
      </c>
      <c r="I260" s="14" t="str">
        <f t="shared" si="1"/>
        <v>Approval Threshold</v>
      </c>
    </row>
    <row r="261">
      <c r="A261" s="18" t="s">
        <v>1100</v>
      </c>
      <c r="B261" s="22">
        <v>106.0</v>
      </c>
      <c r="C261" s="9">
        <v>1.0563895E7</v>
      </c>
      <c r="D261" s="9">
        <v>1.8008816E7</v>
      </c>
      <c r="E261" s="10" t="str">
        <f>IF(C261&gt;percent,"YES","NO")</f>
        <v>NO</v>
      </c>
      <c r="F261" s="19">
        <v>60000.0</v>
      </c>
      <c r="G261" s="12" t="str">
        <f t="shared" si="2"/>
        <v>NOT FUNDED</v>
      </c>
      <c r="H261" s="20">
        <f t="shared" si="3"/>
        <v>1286190</v>
      </c>
      <c r="I261" s="14" t="str">
        <f t="shared" si="1"/>
        <v>Approval Threshold</v>
      </c>
    </row>
    <row r="262">
      <c r="A262" s="18" t="s">
        <v>1101</v>
      </c>
      <c r="B262" s="22">
        <v>95.0</v>
      </c>
      <c r="C262" s="9">
        <v>1.0520668E7</v>
      </c>
      <c r="D262" s="9">
        <v>9205889.0</v>
      </c>
      <c r="E262" s="10" t="str">
        <f>IF(C262&gt;percent,"YES","NO")</f>
        <v>NO</v>
      </c>
      <c r="F262" s="19">
        <v>50000.0</v>
      </c>
      <c r="G262" s="12" t="str">
        <f t="shared" si="2"/>
        <v>NOT FUNDED</v>
      </c>
      <c r="H262" s="20">
        <f t="shared" si="3"/>
        <v>1286190</v>
      </c>
      <c r="I262" s="14" t="str">
        <f t="shared" si="1"/>
        <v>Approval Threshold</v>
      </c>
    </row>
    <row r="263">
      <c r="A263" s="18" t="s">
        <v>1102</v>
      </c>
      <c r="B263" s="22">
        <v>126.0</v>
      </c>
      <c r="C263" s="9">
        <v>1.0496061E7</v>
      </c>
      <c r="D263" s="9">
        <v>1.578359E7</v>
      </c>
      <c r="E263" s="10" t="str">
        <f>IF(C263&gt;percent,"YES","NO")</f>
        <v>NO</v>
      </c>
      <c r="F263" s="19">
        <v>60000.0</v>
      </c>
      <c r="G263" s="12" t="str">
        <f t="shared" si="2"/>
        <v>NOT FUNDED</v>
      </c>
      <c r="H263" s="20">
        <f t="shared" si="3"/>
        <v>1286190</v>
      </c>
      <c r="I263" s="14" t="str">
        <f t="shared" si="1"/>
        <v>Approval Threshold</v>
      </c>
    </row>
    <row r="264">
      <c r="A264" s="18" t="s">
        <v>1103</v>
      </c>
      <c r="B264" s="22">
        <v>171.0</v>
      </c>
      <c r="C264" s="9">
        <v>1.0401795E7</v>
      </c>
      <c r="D264" s="9">
        <v>7784477.0</v>
      </c>
      <c r="E264" s="10" t="str">
        <f>IF(C264&gt;percent,"YES","NO")</f>
        <v>NO</v>
      </c>
      <c r="F264" s="19">
        <v>58638.0</v>
      </c>
      <c r="G264" s="12" t="str">
        <f t="shared" si="2"/>
        <v>NOT FUNDED</v>
      </c>
      <c r="H264" s="20">
        <f t="shared" si="3"/>
        <v>1286190</v>
      </c>
      <c r="I264" s="14" t="str">
        <f t="shared" si="1"/>
        <v>Approval Threshold</v>
      </c>
    </row>
    <row r="265">
      <c r="A265" s="18" t="s">
        <v>1104</v>
      </c>
      <c r="B265" s="22">
        <v>128.0</v>
      </c>
      <c r="C265" s="9">
        <v>1.022814E7</v>
      </c>
      <c r="D265" s="9">
        <v>1.376577E7</v>
      </c>
      <c r="E265" s="10" t="str">
        <f>IF(C265&gt;percent,"YES","NO")</f>
        <v>NO</v>
      </c>
      <c r="F265" s="19">
        <v>60000.0</v>
      </c>
      <c r="G265" s="12" t="str">
        <f t="shared" si="2"/>
        <v>NOT FUNDED</v>
      </c>
      <c r="H265" s="20">
        <f t="shared" si="3"/>
        <v>1286190</v>
      </c>
      <c r="I265" s="14" t="str">
        <f t="shared" si="1"/>
        <v>Approval Threshold</v>
      </c>
    </row>
    <row r="266">
      <c r="A266" s="18" t="s">
        <v>1105</v>
      </c>
      <c r="B266" s="22">
        <v>125.0</v>
      </c>
      <c r="C266" s="9">
        <v>1.0197834E7</v>
      </c>
      <c r="D266" s="9">
        <v>1.4680421E7</v>
      </c>
      <c r="E266" s="10" t="str">
        <f>IF(C266&gt;percent,"YES","NO")</f>
        <v>NO</v>
      </c>
      <c r="F266" s="19">
        <v>60000.0</v>
      </c>
      <c r="G266" s="12" t="str">
        <f t="shared" si="2"/>
        <v>NOT FUNDED</v>
      </c>
      <c r="H266" s="20">
        <f t="shared" si="3"/>
        <v>1286190</v>
      </c>
      <c r="I266" s="14" t="str">
        <f t="shared" si="1"/>
        <v>Approval Threshold</v>
      </c>
    </row>
    <row r="267">
      <c r="A267" s="18" t="s">
        <v>1106</v>
      </c>
      <c r="B267" s="22">
        <v>106.0</v>
      </c>
      <c r="C267" s="9">
        <v>1.0166889E7</v>
      </c>
      <c r="D267" s="9">
        <v>9092430.0</v>
      </c>
      <c r="E267" s="10" t="str">
        <f>IF(C267&gt;percent,"YES","NO")</f>
        <v>NO</v>
      </c>
      <c r="F267" s="19">
        <v>20000.0</v>
      </c>
      <c r="G267" s="12" t="str">
        <f t="shared" si="2"/>
        <v>NOT FUNDED</v>
      </c>
      <c r="H267" s="20">
        <f t="shared" si="3"/>
        <v>1286190</v>
      </c>
      <c r="I267" s="14" t="str">
        <f t="shared" si="1"/>
        <v>Approval Threshold</v>
      </c>
    </row>
    <row r="268">
      <c r="A268" s="18" t="s">
        <v>1107</v>
      </c>
      <c r="B268" s="22">
        <v>101.0</v>
      </c>
      <c r="C268" s="9">
        <v>1.0150514E7</v>
      </c>
      <c r="D268" s="9">
        <v>8904906.0</v>
      </c>
      <c r="E268" s="10" t="str">
        <f>IF(C268&gt;percent,"YES","NO")</f>
        <v>NO</v>
      </c>
      <c r="F268" s="19">
        <v>36000.0</v>
      </c>
      <c r="G268" s="12" t="str">
        <f t="shared" si="2"/>
        <v>NOT FUNDED</v>
      </c>
      <c r="H268" s="20">
        <f t="shared" si="3"/>
        <v>1286190</v>
      </c>
      <c r="I268" s="14" t="str">
        <f t="shared" si="1"/>
        <v>Approval Threshold</v>
      </c>
    </row>
    <row r="269">
      <c r="A269" s="18" t="s">
        <v>1108</v>
      </c>
      <c r="B269" s="22">
        <v>143.0</v>
      </c>
      <c r="C269" s="9">
        <v>1.0116115E7</v>
      </c>
      <c r="D269" s="9">
        <v>3.6134076E7</v>
      </c>
      <c r="E269" s="10" t="str">
        <f>IF(C269&gt;percent,"YES","NO")</f>
        <v>NO</v>
      </c>
      <c r="F269" s="19">
        <v>60000.0</v>
      </c>
      <c r="G269" s="12" t="str">
        <f t="shared" si="2"/>
        <v>NOT FUNDED</v>
      </c>
      <c r="H269" s="20">
        <f t="shared" si="3"/>
        <v>1286190</v>
      </c>
      <c r="I269" s="14" t="str">
        <f t="shared" si="1"/>
        <v>Approval Threshold</v>
      </c>
    </row>
    <row r="270">
      <c r="A270" s="18" t="s">
        <v>1109</v>
      </c>
      <c r="B270" s="22">
        <v>91.0</v>
      </c>
      <c r="C270" s="9">
        <v>1.0072084E7</v>
      </c>
      <c r="D270" s="9">
        <v>1.2289414E7</v>
      </c>
      <c r="E270" s="10" t="str">
        <f>IF(C270&gt;percent,"YES","NO")</f>
        <v>NO</v>
      </c>
      <c r="F270" s="19">
        <v>46000.0</v>
      </c>
      <c r="G270" s="12" t="str">
        <f t="shared" si="2"/>
        <v>NOT FUNDED</v>
      </c>
      <c r="H270" s="20">
        <f t="shared" si="3"/>
        <v>1286190</v>
      </c>
      <c r="I270" s="14" t="str">
        <f t="shared" si="1"/>
        <v>Approval Threshold</v>
      </c>
    </row>
    <row r="271">
      <c r="A271" s="18" t="s">
        <v>1110</v>
      </c>
      <c r="B271" s="22">
        <v>105.0</v>
      </c>
      <c r="C271" s="9">
        <v>1.0058088E7</v>
      </c>
      <c r="D271" s="9">
        <v>1.6192593E7</v>
      </c>
      <c r="E271" s="10" t="str">
        <f>IF(C271&gt;percent,"YES","NO")</f>
        <v>NO</v>
      </c>
      <c r="F271" s="19">
        <v>60000.0</v>
      </c>
      <c r="G271" s="12" t="str">
        <f t="shared" si="2"/>
        <v>NOT FUNDED</v>
      </c>
      <c r="H271" s="20">
        <f t="shared" si="3"/>
        <v>1286190</v>
      </c>
      <c r="I271" s="14" t="str">
        <f t="shared" si="1"/>
        <v>Approval Threshold</v>
      </c>
    </row>
    <row r="272">
      <c r="A272" s="18" t="s">
        <v>1111</v>
      </c>
      <c r="B272" s="22">
        <v>101.0</v>
      </c>
      <c r="C272" s="9">
        <v>9999247.0</v>
      </c>
      <c r="D272" s="9">
        <v>1.6310614E7</v>
      </c>
      <c r="E272" s="10" t="str">
        <f>IF(C272&gt;percent,"YES","NO")</f>
        <v>NO</v>
      </c>
      <c r="F272" s="19">
        <v>40000.0</v>
      </c>
      <c r="G272" s="12" t="str">
        <f t="shared" si="2"/>
        <v>NOT FUNDED</v>
      </c>
      <c r="H272" s="20">
        <f t="shared" si="3"/>
        <v>1286190</v>
      </c>
      <c r="I272" s="14" t="str">
        <f t="shared" si="1"/>
        <v>Approval Threshold</v>
      </c>
    </row>
    <row r="273">
      <c r="A273" s="18" t="s">
        <v>1112</v>
      </c>
      <c r="B273" s="22">
        <v>100.0</v>
      </c>
      <c r="C273" s="9">
        <v>9991778.0</v>
      </c>
      <c r="D273" s="9">
        <v>1.1177086E7</v>
      </c>
      <c r="E273" s="10" t="str">
        <f>IF(C273&gt;percent,"YES","NO")</f>
        <v>NO</v>
      </c>
      <c r="F273" s="19">
        <v>53000.0</v>
      </c>
      <c r="G273" s="12" t="str">
        <f t="shared" si="2"/>
        <v>NOT FUNDED</v>
      </c>
      <c r="H273" s="20">
        <f t="shared" si="3"/>
        <v>1286190</v>
      </c>
      <c r="I273" s="14" t="str">
        <f t="shared" si="1"/>
        <v>Approval Threshold</v>
      </c>
    </row>
    <row r="274">
      <c r="A274" s="18" t="s">
        <v>1113</v>
      </c>
      <c r="B274" s="22">
        <v>126.0</v>
      </c>
      <c r="C274" s="9">
        <v>9989983.0</v>
      </c>
      <c r="D274" s="9">
        <v>1.0501403E7</v>
      </c>
      <c r="E274" s="10" t="str">
        <f>IF(C274&gt;percent,"YES","NO")</f>
        <v>NO</v>
      </c>
      <c r="F274" s="19">
        <v>35000.0</v>
      </c>
      <c r="G274" s="12" t="str">
        <f t="shared" si="2"/>
        <v>NOT FUNDED</v>
      </c>
      <c r="H274" s="20">
        <f t="shared" si="3"/>
        <v>1286190</v>
      </c>
      <c r="I274" s="14" t="str">
        <f t="shared" si="1"/>
        <v>Approval Threshold</v>
      </c>
    </row>
    <row r="275">
      <c r="A275" s="18" t="s">
        <v>1114</v>
      </c>
      <c r="B275" s="22">
        <v>128.0</v>
      </c>
      <c r="C275" s="9">
        <v>9985493.0</v>
      </c>
      <c r="D275" s="9">
        <v>1.5498331E7</v>
      </c>
      <c r="E275" s="10" t="str">
        <f>IF(C275&gt;percent,"YES","NO")</f>
        <v>NO</v>
      </c>
      <c r="F275" s="19">
        <v>60000.0</v>
      </c>
      <c r="G275" s="12" t="str">
        <f t="shared" si="2"/>
        <v>NOT FUNDED</v>
      </c>
      <c r="H275" s="20">
        <f t="shared" si="3"/>
        <v>1286190</v>
      </c>
      <c r="I275" s="14" t="str">
        <f t="shared" si="1"/>
        <v>Approval Threshold</v>
      </c>
    </row>
    <row r="276">
      <c r="A276" s="18" t="s">
        <v>1115</v>
      </c>
      <c r="B276" s="22">
        <v>114.0</v>
      </c>
      <c r="C276" s="9">
        <v>9964348.0</v>
      </c>
      <c r="D276" s="9">
        <v>1.5299448E7</v>
      </c>
      <c r="E276" s="10" t="str">
        <f>IF(C276&gt;percent,"YES","NO")</f>
        <v>NO</v>
      </c>
      <c r="F276" s="19">
        <v>60000.0</v>
      </c>
      <c r="G276" s="12" t="str">
        <f t="shared" si="2"/>
        <v>NOT FUNDED</v>
      </c>
      <c r="H276" s="20">
        <f t="shared" si="3"/>
        <v>1286190</v>
      </c>
      <c r="I276" s="14" t="str">
        <f t="shared" si="1"/>
        <v>Approval Threshold</v>
      </c>
    </row>
    <row r="277">
      <c r="A277" s="18" t="s">
        <v>1116</v>
      </c>
      <c r="B277" s="22">
        <v>115.0</v>
      </c>
      <c r="C277" s="9">
        <v>9938887.0</v>
      </c>
      <c r="D277" s="9">
        <v>1.0915446E7</v>
      </c>
      <c r="E277" s="10" t="str">
        <f>IF(C277&gt;percent,"YES","NO")</f>
        <v>NO</v>
      </c>
      <c r="F277" s="19">
        <v>25700.0</v>
      </c>
      <c r="G277" s="12" t="str">
        <f t="shared" si="2"/>
        <v>NOT FUNDED</v>
      </c>
      <c r="H277" s="20">
        <f t="shared" si="3"/>
        <v>1286190</v>
      </c>
      <c r="I277" s="14" t="str">
        <f t="shared" si="1"/>
        <v>Approval Threshold</v>
      </c>
    </row>
    <row r="278">
      <c r="A278" s="18" t="s">
        <v>1117</v>
      </c>
      <c r="B278" s="22">
        <v>120.0</v>
      </c>
      <c r="C278" s="9">
        <v>9925628.0</v>
      </c>
      <c r="D278" s="9">
        <v>1.4273884E7</v>
      </c>
      <c r="E278" s="10" t="str">
        <f>IF(C278&gt;percent,"YES","NO")</f>
        <v>NO</v>
      </c>
      <c r="F278" s="19">
        <v>60000.0</v>
      </c>
      <c r="G278" s="12" t="str">
        <f t="shared" si="2"/>
        <v>NOT FUNDED</v>
      </c>
      <c r="H278" s="20">
        <f t="shared" si="3"/>
        <v>1286190</v>
      </c>
      <c r="I278" s="14" t="str">
        <f t="shared" si="1"/>
        <v>Approval Threshold</v>
      </c>
    </row>
    <row r="279">
      <c r="A279" s="18" t="s">
        <v>1118</v>
      </c>
      <c r="B279" s="22">
        <v>98.0</v>
      </c>
      <c r="C279" s="9">
        <v>9919675.0</v>
      </c>
      <c r="D279" s="9">
        <v>6324325.0</v>
      </c>
      <c r="E279" s="10" t="str">
        <f>IF(C279&gt;percent,"YES","NO")</f>
        <v>NO</v>
      </c>
      <c r="F279" s="19">
        <v>39000.0</v>
      </c>
      <c r="G279" s="12" t="str">
        <f t="shared" si="2"/>
        <v>NOT FUNDED</v>
      </c>
      <c r="H279" s="20">
        <f t="shared" si="3"/>
        <v>1286190</v>
      </c>
      <c r="I279" s="14" t="str">
        <f t="shared" si="1"/>
        <v>Approval Threshold</v>
      </c>
    </row>
    <row r="280">
      <c r="A280" s="18" t="s">
        <v>1119</v>
      </c>
      <c r="B280" s="22">
        <v>87.0</v>
      </c>
      <c r="C280" s="9">
        <v>9882208.0</v>
      </c>
      <c r="D280" s="9">
        <v>8313527.0</v>
      </c>
      <c r="E280" s="10" t="str">
        <f>IF(C280&gt;percent,"YES","NO")</f>
        <v>NO</v>
      </c>
      <c r="F280" s="19">
        <v>25000.0</v>
      </c>
      <c r="G280" s="12" t="str">
        <f t="shared" si="2"/>
        <v>NOT FUNDED</v>
      </c>
      <c r="H280" s="20">
        <f t="shared" si="3"/>
        <v>1286190</v>
      </c>
      <c r="I280" s="14" t="str">
        <f t="shared" si="1"/>
        <v>Approval Threshold</v>
      </c>
    </row>
    <row r="281">
      <c r="A281" s="18" t="s">
        <v>1120</v>
      </c>
      <c r="B281" s="22">
        <v>98.0</v>
      </c>
      <c r="C281" s="9">
        <v>9863723.0</v>
      </c>
      <c r="D281" s="9">
        <v>1.086802E7</v>
      </c>
      <c r="E281" s="10" t="str">
        <f>IF(C281&gt;percent,"YES","NO")</f>
        <v>NO</v>
      </c>
      <c r="F281" s="19">
        <v>20000.0</v>
      </c>
      <c r="G281" s="12" t="str">
        <f t="shared" si="2"/>
        <v>NOT FUNDED</v>
      </c>
      <c r="H281" s="20">
        <f t="shared" si="3"/>
        <v>1286190</v>
      </c>
      <c r="I281" s="14" t="str">
        <f t="shared" si="1"/>
        <v>Approval Threshold</v>
      </c>
    </row>
    <row r="282">
      <c r="A282" s="18" t="s">
        <v>1121</v>
      </c>
      <c r="B282" s="22">
        <v>174.0</v>
      </c>
      <c r="C282" s="9">
        <v>9805567.0</v>
      </c>
      <c r="D282" s="9">
        <v>8633947.0</v>
      </c>
      <c r="E282" s="10" t="str">
        <f>IF(C282&gt;percent,"YES","NO")</f>
        <v>NO</v>
      </c>
      <c r="F282" s="19">
        <v>59928.0</v>
      </c>
      <c r="G282" s="12" t="str">
        <f t="shared" si="2"/>
        <v>NOT FUNDED</v>
      </c>
      <c r="H282" s="20">
        <f t="shared" si="3"/>
        <v>1286190</v>
      </c>
      <c r="I282" s="14" t="str">
        <f t="shared" si="1"/>
        <v>Approval Threshold</v>
      </c>
    </row>
    <row r="283">
      <c r="A283" s="18" t="s">
        <v>1122</v>
      </c>
      <c r="B283" s="22">
        <v>110.0</v>
      </c>
      <c r="C283" s="9">
        <v>9802018.0</v>
      </c>
      <c r="D283" s="9">
        <v>2.6920137E7</v>
      </c>
      <c r="E283" s="10" t="str">
        <f>IF(C283&gt;percent,"YES","NO")</f>
        <v>NO</v>
      </c>
      <c r="F283" s="19">
        <v>37500.0</v>
      </c>
      <c r="G283" s="12" t="str">
        <f t="shared" si="2"/>
        <v>NOT FUNDED</v>
      </c>
      <c r="H283" s="20">
        <f t="shared" si="3"/>
        <v>1286190</v>
      </c>
      <c r="I283" s="14" t="str">
        <f t="shared" si="1"/>
        <v>Approval Threshold</v>
      </c>
    </row>
    <row r="284">
      <c r="A284" s="18" t="s">
        <v>1123</v>
      </c>
      <c r="B284" s="22">
        <v>116.0</v>
      </c>
      <c r="C284" s="9">
        <v>9797334.0</v>
      </c>
      <c r="D284" s="9">
        <v>1.1257398E7</v>
      </c>
      <c r="E284" s="10" t="str">
        <f>IF(C284&gt;percent,"YES","NO")</f>
        <v>NO</v>
      </c>
      <c r="F284" s="19">
        <v>33650.0</v>
      </c>
      <c r="G284" s="12" t="str">
        <f t="shared" si="2"/>
        <v>NOT FUNDED</v>
      </c>
      <c r="H284" s="20">
        <f t="shared" si="3"/>
        <v>1286190</v>
      </c>
      <c r="I284" s="14" t="str">
        <f t="shared" si="1"/>
        <v>Approval Threshold</v>
      </c>
    </row>
    <row r="285">
      <c r="A285" s="18" t="s">
        <v>1124</v>
      </c>
      <c r="B285" s="22">
        <v>148.0</v>
      </c>
      <c r="C285" s="9">
        <v>9777442.0</v>
      </c>
      <c r="D285" s="9">
        <v>8881702.0</v>
      </c>
      <c r="E285" s="10" t="str">
        <f>IF(C285&gt;percent,"YES","NO")</f>
        <v>NO</v>
      </c>
      <c r="F285" s="19">
        <v>58813.0</v>
      </c>
      <c r="G285" s="12" t="str">
        <f t="shared" si="2"/>
        <v>NOT FUNDED</v>
      </c>
      <c r="H285" s="20">
        <f t="shared" si="3"/>
        <v>1286190</v>
      </c>
      <c r="I285" s="14" t="str">
        <f t="shared" si="1"/>
        <v>Approval Threshold</v>
      </c>
    </row>
    <row r="286">
      <c r="A286" s="18" t="s">
        <v>1125</v>
      </c>
      <c r="B286" s="22">
        <v>116.0</v>
      </c>
      <c r="C286" s="9">
        <v>9763044.0</v>
      </c>
      <c r="D286" s="9">
        <v>2.4875946E7</v>
      </c>
      <c r="E286" s="10" t="str">
        <f>IF(C286&gt;percent,"YES","NO")</f>
        <v>NO</v>
      </c>
      <c r="F286" s="19">
        <v>34400.0</v>
      </c>
      <c r="G286" s="12" t="str">
        <f t="shared" si="2"/>
        <v>NOT FUNDED</v>
      </c>
      <c r="H286" s="20">
        <f t="shared" si="3"/>
        <v>1286190</v>
      </c>
      <c r="I286" s="14" t="str">
        <f t="shared" si="1"/>
        <v>Approval Threshold</v>
      </c>
    </row>
    <row r="287">
      <c r="A287" s="18" t="s">
        <v>1126</v>
      </c>
      <c r="B287" s="22">
        <v>87.0</v>
      </c>
      <c r="C287" s="9">
        <v>9759862.0</v>
      </c>
      <c r="D287" s="9">
        <v>8280944.0</v>
      </c>
      <c r="E287" s="10" t="str">
        <f>IF(C287&gt;percent,"YES","NO")</f>
        <v>NO</v>
      </c>
      <c r="F287" s="19">
        <v>45000.0</v>
      </c>
      <c r="G287" s="12" t="str">
        <f t="shared" si="2"/>
        <v>NOT FUNDED</v>
      </c>
      <c r="H287" s="20">
        <f t="shared" si="3"/>
        <v>1286190</v>
      </c>
      <c r="I287" s="14" t="str">
        <f t="shared" si="1"/>
        <v>Approval Threshold</v>
      </c>
    </row>
    <row r="288">
      <c r="A288" s="18" t="s">
        <v>1127</v>
      </c>
      <c r="B288" s="22">
        <v>123.0</v>
      </c>
      <c r="C288" s="9">
        <v>9759108.0</v>
      </c>
      <c r="D288" s="9">
        <v>1.5855249E7</v>
      </c>
      <c r="E288" s="10" t="str">
        <f>IF(C288&gt;percent,"YES","NO")</f>
        <v>NO</v>
      </c>
      <c r="F288" s="19">
        <v>60000.0</v>
      </c>
      <c r="G288" s="12" t="str">
        <f t="shared" si="2"/>
        <v>NOT FUNDED</v>
      </c>
      <c r="H288" s="20">
        <f t="shared" si="3"/>
        <v>1286190</v>
      </c>
      <c r="I288" s="14" t="str">
        <f t="shared" si="1"/>
        <v>Approval Threshold</v>
      </c>
    </row>
    <row r="289">
      <c r="A289" s="18" t="s">
        <v>1128</v>
      </c>
      <c r="B289" s="22">
        <v>118.0</v>
      </c>
      <c r="C289" s="9">
        <v>9698085.0</v>
      </c>
      <c r="D289" s="9">
        <v>1.0349409E7</v>
      </c>
      <c r="E289" s="10" t="str">
        <f>IF(C289&gt;percent,"YES","NO")</f>
        <v>NO</v>
      </c>
      <c r="F289" s="19">
        <v>27000.0</v>
      </c>
      <c r="G289" s="12" t="str">
        <f t="shared" si="2"/>
        <v>NOT FUNDED</v>
      </c>
      <c r="H289" s="20">
        <f t="shared" si="3"/>
        <v>1286190</v>
      </c>
      <c r="I289" s="14" t="str">
        <f t="shared" si="1"/>
        <v>Approval Threshold</v>
      </c>
    </row>
    <row r="290">
      <c r="A290" s="18" t="s">
        <v>1129</v>
      </c>
      <c r="B290" s="22">
        <v>117.0</v>
      </c>
      <c r="C290" s="9">
        <v>9676298.0</v>
      </c>
      <c r="D290" s="9">
        <v>1.078666E7</v>
      </c>
      <c r="E290" s="10" t="str">
        <f>IF(C290&gt;percent,"YES","NO")</f>
        <v>NO</v>
      </c>
      <c r="F290" s="19">
        <v>15400.0</v>
      </c>
      <c r="G290" s="12" t="str">
        <f t="shared" si="2"/>
        <v>NOT FUNDED</v>
      </c>
      <c r="H290" s="20">
        <f t="shared" si="3"/>
        <v>1286190</v>
      </c>
      <c r="I290" s="14" t="str">
        <f t="shared" si="1"/>
        <v>Approval Threshold</v>
      </c>
    </row>
    <row r="291">
      <c r="A291" s="18" t="s">
        <v>1130</v>
      </c>
      <c r="B291" s="22">
        <v>115.0</v>
      </c>
      <c r="C291" s="9">
        <v>9667268.0</v>
      </c>
      <c r="D291" s="9">
        <v>1.1647982E7</v>
      </c>
      <c r="E291" s="10" t="str">
        <f>IF(C291&gt;percent,"YES","NO")</f>
        <v>NO</v>
      </c>
      <c r="F291" s="19">
        <v>45500.0</v>
      </c>
      <c r="G291" s="12" t="str">
        <f t="shared" si="2"/>
        <v>NOT FUNDED</v>
      </c>
      <c r="H291" s="20">
        <f t="shared" si="3"/>
        <v>1286190</v>
      </c>
      <c r="I291" s="14" t="str">
        <f t="shared" si="1"/>
        <v>Approval Threshold</v>
      </c>
    </row>
    <row r="292">
      <c r="A292" s="18" t="s">
        <v>1131</v>
      </c>
      <c r="B292" s="22">
        <v>110.0</v>
      </c>
      <c r="C292" s="9">
        <v>9632925.0</v>
      </c>
      <c r="D292" s="9">
        <v>9802512.0</v>
      </c>
      <c r="E292" s="10" t="str">
        <f>IF(C292&gt;percent,"YES","NO")</f>
        <v>NO</v>
      </c>
      <c r="F292" s="19">
        <v>20000.0</v>
      </c>
      <c r="G292" s="12" t="str">
        <f t="shared" si="2"/>
        <v>NOT FUNDED</v>
      </c>
      <c r="H292" s="20">
        <f t="shared" si="3"/>
        <v>1286190</v>
      </c>
      <c r="I292" s="14" t="str">
        <f t="shared" si="1"/>
        <v>Approval Threshold</v>
      </c>
    </row>
    <row r="293">
      <c r="A293" s="18" t="s">
        <v>1132</v>
      </c>
      <c r="B293" s="22">
        <v>94.0</v>
      </c>
      <c r="C293" s="9">
        <v>9632823.0</v>
      </c>
      <c r="D293" s="9">
        <v>7147206.0</v>
      </c>
      <c r="E293" s="10" t="str">
        <f>IF(C293&gt;percent,"YES","NO")</f>
        <v>NO</v>
      </c>
      <c r="F293" s="19">
        <v>32000.0</v>
      </c>
      <c r="G293" s="12" t="str">
        <f t="shared" si="2"/>
        <v>NOT FUNDED</v>
      </c>
      <c r="H293" s="20">
        <f t="shared" si="3"/>
        <v>1286190</v>
      </c>
      <c r="I293" s="14" t="str">
        <f t="shared" si="1"/>
        <v>Approval Threshold</v>
      </c>
    </row>
    <row r="294">
      <c r="A294" s="18" t="s">
        <v>1133</v>
      </c>
      <c r="B294" s="22">
        <v>115.0</v>
      </c>
      <c r="C294" s="9">
        <v>9601262.0</v>
      </c>
      <c r="D294" s="9">
        <v>1.3680286E7</v>
      </c>
      <c r="E294" s="10" t="str">
        <f>IF(C294&gt;percent,"YES","NO")</f>
        <v>NO</v>
      </c>
      <c r="F294" s="19">
        <v>50000.0</v>
      </c>
      <c r="G294" s="12" t="str">
        <f t="shared" si="2"/>
        <v>NOT FUNDED</v>
      </c>
      <c r="H294" s="20">
        <f t="shared" si="3"/>
        <v>1286190</v>
      </c>
      <c r="I294" s="14" t="str">
        <f t="shared" si="1"/>
        <v>Approval Threshold</v>
      </c>
    </row>
    <row r="295">
      <c r="A295" s="18" t="s">
        <v>1134</v>
      </c>
      <c r="B295" s="22">
        <v>125.0</v>
      </c>
      <c r="C295" s="9">
        <v>9567997.0</v>
      </c>
      <c r="D295" s="9">
        <v>1.1117131E7</v>
      </c>
      <c r="E295" s="10" t="str">
        <f>IF(C295&gt;percent,"YES","NO")</f>
        <v>NO</v>
      </c>
      <c r="F295" s="19">
        <v>46132.0</v>
      </c>
      <c r="G295" s="12" t="str">
        <f t="shared" si="2"/>
        <v>NOT FUNDED</v>
      </c>
      <c r="H295" s="20">
        <f t="shared" si="3"/>
        <v>1286190</v>
      </c>
      <c r="I295" s="14" t="str">
        <f t="shared" si="1"/>
        <v>Approval Threshold</v>
      </c>
    </row>
    <row r="296">
      <c r="A296" s="18" t="s">
        <v>1135</v>
      </c>
      <c r="B296" s="22">
        <v>92.0</v>
      </c>
      <c r="C296" s="9">
        <v>9540412.0</v>
      </c>
      <c r="D296" s="9">
        <v>2.6996359E7</v>
      </c>
      <c r="E296" s="10" t="str">
        <f>IF(C296&gt;percent,"YES","NO")</f>
        <v>NO</v>
      </c>
      <c r="F296" s="19">
        <v>60000.0</v>
      </c>
      <c r="G296" s="12" t="str">
        <f t="shared" si="2"/>
        <v>NOT FUNDED</v>
      </c>
      <c r="H296" s="20">
        <f t="shared" si="3"/>
        <v>1286190</v>
      </c>
      <c r="I296" s="14" t="str">
        <f t="shared" si="1"/>
        <v>Approval Threshold</v>
      </c>
    </row>
    <row r="297">
      <c r="A297" s="18" t="s">
        <v>1136</v>
      </c>
      <c r="B297" s="22">
        <v>100.0</v>
      </c>
      <c r="C297" s="9">
        <v>9517985.0</v>
      </c>
      <c r="D297" s="9">
        <v>8060658.0</v>
      </c>
      <c r="E297" s="10" t="str">
        <f>IF(C297&gt;percent,"YES","NO")</f>
        <v>NO</v>
      </c>
      <c r="F297" s="19">
        <v>55000.0</v>
      </c>
      <c r="G297" s="12" t="str">
        <f t="shared" si="2"/>
        <v>NOT FUNDED</v>
      </c>
      <c r="H297" s="20">
        <f t="shared" si="3"/>
        <v>1286190</v>
      </c>
      <c r="I297" s="14" t="str">
        <f t="shared" si="1"/>
        <v>Approval Threshold</v>
      </c>
    </row>
    <row r="298">
      <c r="A298" s="18" t="s">
        <v>1137</v>
      </c>
      <c r="B298" s="22">
        <v>112.0</v>
      </c>
      <c r="C298" s="9">
        <v>9499727.0</v>
      </c>
      <c r="D298" s="9">
        <v>6566006.0</v>
      </c>
      <c r="E298" s="10" t="str">
        <f>IF(C298&gt;percent,"YES","NO")</f>
        <v>NO</v>
      </c>
      <c r="F298" s="19">
        <v>58000.0</v>
      </c>
      <c r="G298" s="12" t="str">
        <f t="shared" si="2"/>
        <v>NOT FUNDED</v>
      </c>
      <c r="H298" s="20">
        <f t="shared" si="3"/>
        <v>1286190</v>
      </c>
      <c r="I298" s="14" t="str">
        <f t="shared" si="1"/>
        <v>Approval Threshold</v>
      </c>
    </row>
    <row r="299">
      <c r="A299" s="18" t="s">
        <v>1138</v>
      </c>
      <c r="B299" s="22">
        <v>128.0</v>
      </c>
      <c r="C299" s="9">
        <v>9498626.0</v>
      </c>
      <c r="D299" s="9">
        <v>1.74195E7</v>
      </c>
      <c r="E299" s="10" t="str">
        <f>IF(C299&gt;percent,"YES","NO")</f>
        <v>NO</v>
      </c>
      <c r="F299" s="19">
        <v>60000.0</v>
      </c>
      <c r="G299" s="12" t="str">
        <f t="shared" si="2"/>
        <v>NOT FUNDED</v>
      </c>
      <c r="H299" s="20">
        <f t="shared" si="3"/>
        <v>1286190</v>
      </c>
      <c r="I299" s="14" t="str">
        <f t="shared" si="1"/>
        <v>Approval Threshold</v>
      </c>
    </row>
    <row r="300">
      <c r="A300" s="18" t="s">
        <v>1139</v>
      </c>
      <c r="B300" s="22">
        <v>93.0</v>
      </c>
      <c r="C300" s="9">
        <v>9492571.0</v>
      </c>
      <c r="D300" s="9">
        <v>8381307.0</v>
      </c>
      <c r="E300" s="10" t="str">
        <f>IF(C300&gt;percent,"YES","NO")</f>
        <v>NO</v>
      </c>
      <c r="F300" s="19">
        <v>50000.0</v>
      </c>
      <c r="G300" s="12" t="str">
        <f t="shared" si="2"/>
        <v>NOT FUNDED</v>
      </c>
      <c r="H300" s="20">
        <f t="shared" si="3"/>
        <v>1286190</v>
      </c>
      <c r="I300" s="14" t="str">
        <f t="shared" si="1"/>
        <v>Approval Threshold</v>
      </c>
    </row>
    <row r="301">
      <c r="A301" s="18" t="s">
        <v>1140</v>
      </c>
      <c r="B301" s="22">
        <v>103.0</v>
      </c>
      <c r="C301" s="9">
        <v>9483356.0</v>
      </c>
      <c r="D301" s="9">
        <v>1.7703323E7</v>
      </c>
      <c r="E301" s="10" t="str">
        <f>IF(C301&gt;percent,"YES","NO")</f>
        <v>NO</v>
      </c>
      <c r="F301" s="19">
        <v>60000.0</v>
      </c>
      <c r="G301" s="12" t="str">
        <f t="shared" si="2"/>
        <v>NOT FUNDED</v>
      </c>
      <c r="H301" s="20">
        <f t="shared" si="3"/>
        <v>1286190</v>
      </c>
      <c r="I301" s="14" t="str">
        <f t="shared" si="1"/>
        <v>Approval Threshold</v>
      </c>
    </row>
    <row r="302">
      <c r="A302" s="18" t="s">
        <v>1141</v>
      </c>
      <c r="B302" s="22">
        <v>141.0</v>
      </c>
      <c r="C302" s="9">
        <v>9472415.0</v>
      </c>
      <c r="D302" s="9">
        <v>1.2483349E7</v>
      </c>
      <c r="E302" s="10" t="str">
        <f>IF(C302&gt;percent,"YES","NO")</f>
        <v>NO</v>
      </c>
      <c r="F302" s="19">
        <v>55000.0</v>
      </c>
      <c r="G302" s="12" t="str">
        <f t="shared" si="2"/>
        <v>NOT FUNDED</v>
      </c>
      <c r="H302" s="20">
        <f t="shared" si="3"/>
        <v>1286190</v>
      </c>
      <c r="I302" s="14" t="str">
        <f t="shared" si="1"/>
        <v>Approval Threshold</v>
      </c>
    </row>
    <row r="303">
      <c r="A303" s="18" t="s">
        <v>1142</v>
      </c>
      <c r="B303" s="22">
        <v>117.0</v>
      </c>
      <c r="C303" s="9">
        <v>9461518.0</v>
      </c>
      <c r="D303" s="9">
        <v>1.6660755E7</v>
      </c>
      <c r="E303" s="10" t="str">
        <f>IF(C303&gt;percent,"YES","NO")</f>
        <v>NO</v>
      </c>
      <c r="F303" s="19">
        <v>39400.0</v>
      </c>
      <c r="G303" s="12" t="str">
        <f t="shared" si="2"/>
        <v>NOT FUNDED</v>
      </c>
      <c r="H303" s="20">
        <f t="shared" si="3"/>
        <v>1286190</v>
      </c>
      <c r="I303" s="14" t="str">
        <f t="shared" si="1"/>
        <v>Approval Threshold</v>
      </c>
    </row>
    <row r="304">
      <c r="A304" s="18" t="s">
        <v>1143</v>
      </c>
      <c r="B304" s="22">
        <v>137.0</v>
      </c>
      <c r="C304" s="9">
        <v>9453444.0</v>
      </c>
      <c r="D304" s="9">
        <v>1.5374762E7</v>
      </c>
      <c r="E304" s="10" t="str">
        <f>IF(C304&gt;percent,"YES","NO")</f>
        <v>NO</v>
      </c>
      <c r="F304" s="19">
        <v>60000.0</v>
      </c>
      <c r="G304" s="12" t="str">
        <f t="shared" si="2"/>
        <v>NOT FUNDED</v>
      </c>
      <c r="H304" s="20">
        <f t="shared" si="3"/>
        <v>1286190</v>
      </c>
      <c r="I304" s="14" t="str">
        <f t="shared" si="1"/>
        <v>Approval Threshold</v>
      </c>
    </row>
    <row r="305">
      <c r="A305" s="18" t="s">
        <v>1144</v>
      </c>
      <c r="B305" s="22">
        <v>89.0</v>
      </c>
      <c r="C305" s="9">
        <v>9433372.0</v>
      </c>
      <c r="D305" s="9">
        <v>1.0457081E7</v>
      </c>
      <c r="E305" s="10" t="str">
        <f>IF(C305&gt;percent,"YES","NO")</f>
        <v>NO</v>
      </c>
      <c r="F305" s="19">
        <v>35000.0</v>
      </c>
      <c r="G305" s="12" t="str">
        <f t="shared" si="2"/>
        <v>NOT FUNDED</v>
      </c>
      <c r="H305" s="20">
        <f t="shared" si="3"/>
        <v>1286190</v>
      </c>
      <c r="I305" s="14" t="str">
        <f t="shared" si="1"/>
        <v>Approval Threshold</v>
      </c>
    </row>
    <row r="306">
      <c r="A306" s="18" t="s">
        <v>1145</v>
      </c>
      <c r="B306" s="22">
        <v>108.0</v>
      </c>
      <c r="C306" s="9">
        <v>9420509.0</v>
      </c>
      <c r="D306" s="9">
        <v>1.3114168E7</v>
      </c>
      <c r="E306" s="10" t="str">
        <f>IF(C306&gt;percent,"YES","NO")</f>
        <v>NO</v>
      </c>
      <c r="F306" s="19">
        <v>60000.0</v>
      </c>
      <c r="G306" s="12" t="str">
        <f t="shared" si="2"/>
        <v>NOT FUNDED</v>
      </c>
      <c r="H306" s="20">
        <f t="shared" si="3"/>
        <v>1286190</v>
      </c>
      <c r="I306" s="14" t="str">
        <f t="shared" si="1"/>
        <v>Approval Threshold</v>
      </c>
    </row>
    <row r="307">
      <c r="A307" s="18" t="s">
        <v>1146</v>
      </c>
      <c r="B307" s="22">
        <v>109.0</v>
      </c>
      <c r="C307" s="9">
        <v>9343303.0</v>
      </c>
      <c r="D307" s="9">
        <v>1.1963138E7</v>
      </c>
      <c r="E307" s="10" t="str">
        <f>IF(C307&gt;percent,"YES","NO")</f>
        <v>NO</v>
      </c>
      <c r="F307" s="19">
        <v>60000.0</v>
      </c>
      <c r="G307" s="12" t="str">
        <f t="shared" si="2"/>
        <v>NOT FUNDED</v>
      </c>
      <c r="H307" s="20">
        <f t="shared" si="3"/>
        <v>1286190</v>
      </c>
      <c r="I307" s="14" t="str">
        <f t="shared" si="1"/>
        <v>Approval Threshold</v>
      </c>
    </row>
    <row r="308">
      <c r="A308" s="18" t="s">
        <v>1147</v>
      </c>
      <c r="B308" s="22">
        <v>129.0</v>
      </c>
      <c r="C308" s="9">
        <v>9327410.0</v>
      </c>
      <c r="D308" s="9">
        <v>1.0371017E7</v>
      </c>
      <c r="E308" s="10" t="str">
        <f>IF(C308&gt;percent,"YES","NO")</f>
        <v>NO</v>
      </c>
      <c r="F308" s="19">
        <v>56579.0</v>
      </c>
      <c r="G308" s="12" t="str">
        <f t="shared" si="2"/>
        <v>NOT FUNDED</v>
      </c>
      <c r="H308" s="20">
        <f t="shared" si="3"/>
        <v>1286190</v>
      </c>
      <c r="I308" s="14" t="str">
        <f t="shared" si="1"/>
        <v>Approval Threshold</v>
      </c>
    </row>
    <row r="309">
      <c r="A309" s="18" t="s">
        <v>1148</v>
      </c>
      <c r="B309" s="22">
        <v>99.0</v>
      </c>
      <c r="C309" s="9">
        <v>9317935.0</v>
      </c>
      <c r="D309" s="9">
        <v>1.3617876E7</v>
      </c>
      <c r="E309" s="10" t="str">
        <f>IF(C309&gt;percent,"YES","NO")</f>
        <v>NO</v>
      </c>
      <c r="F309" s="19">
        <v>30000.0</v>
      </c>
      <c r="G309" s="12" t="str">
        <f t="shared" si="2"/>
        <v>NOT FUNDED</v>
      </c>
      <c r="H309" s="20">
        <f t="shared" si="3"/>
        <v>1286190</v>
      </c>
      <c r="I309" s="14" t="str">
        <f t="shared" si="1"/>
        <v>Approval Threshold</v>
      </c>
    </row>
    <row r="310">
      <c r="A310" s="18" t="s">
        <v>1149</v>
      </c>
      <c r="B310" s="22">
        <v>123.0</v>
      </c>
      <c r="C310" s="9">
        <v>9308830.0</v>
      </c>
      <c r="D310" s="9">
        <v>1.2048383E7</v>
      </c>
      <c r="E310" s="10" t="str">
        <f>IF(C310&gt;percent,"YES","NO")</f>
        <v>NO</v>
      </c>
      <c r="F310" s="19">
        <v>60000.0</v>
      </c>
      <c r="G310" s="12" t="str">
        <f t="shared" si="2"/>
        <v>NOT FUNDED</v>
      </c>
      <c r="H310" s="20">
        <f t="shared" si="3"/>
        <v>1286190</v>
      </c>
      <c r="I310" s="14" t="str">
        <f t="shared" si="1"/>
        <v>Approval Threshold</v>
      </c>
    </row>
    <row r="311">
      <c r="A311" s="18" t="s">
        <v>1150</v>
      </c>
      <c r="B311" s="22">
        <v>119.0</v>
      </c>
      <c r="C311" s="9">
        <v>9238476.0</v>
      </c>
      <c r="D311" s="9">
        <v>8879091.0</v>
      </c>
      <c r="E311" s="10" t="str">
        <f>IF(C311&gt;percent,"YES","NO")</f>
        <v>NO</v>
      </c>
      <c r="F311" s="19">
        <v>45000.0</v>
      </c>
      <c r="G311" s="12" t="str">
        <f t="shared" si="2"/>
        <v>NOT FUNDED</v>
      </c>
      <c r="H311" s="20">
        <f t="shared" si="3"/>
        <v>1286190</v>
      </c>
      <c r="I311" s="14" t="str">
        <f t="shared" si="1"/>
        <v>Approval Threshold</v>
      </c>
    </row>
    <row r="312">
      <c r="A312" s="18" t="s">
        <v>1151</v>
      </c>
      <c r="B312" s="22">
        <v>144.0</v>
      </c>
      <c r="C312" s="9">
        <v>9180728.0</v>
      </c>
      <c r="D312" s="9">
        <v>1.7629866E7</v>
      </c>
      <c r="E312" s="10" t="str">
        <f>IF(C312&gt;percent,"YES","NO")</f>
        <v>NO</v>
      </c>
      <c r="F312" s="19">
        <v>57000.0</v>
      </c>
      <c r="G312" s="12" t="str">
        <f t="shared" si="2"/>
        <v>NOT FUNDED</v>
      </c>
      <c r="H312" s="20">
        <f t="shared" si="3"/>
        <v>1286190</v>
      </c>
      <c r="I312" s="14" t="str">
        <f t="shared" si="1"/>
        <v>Approval Threshold</v>
      </c>
    </row>
    <row r="313">
      <c r="A313" s="18" t="s">
        <v>1152</v>
      </c>
      <c r="B313" s="22">
        <v>98.0</v>
      </c>
      <c r="C313" s="9">
        <v>9172872.0</v>
      </c>
      <c r="D313" s="9">
        <v>7011998.0</v>
      </c>
      <c r="E313" s="10" t="str">
        <f>IF(C313&gt;percent,"YES","NO")</f>
        <v>NO</v>
      </c>
      <c r="F313" s="19">
        <v>35000.0</v>
      </c>
      <c r="G313" s="12" t="str">
        <f t="shared" si="2"/>
        <v>NOT FUNDED</v>
      </c>
      <c r="H313" s="20">
        <f t="shared" si="3"/>
        <v>1286190</v>
      </c>
      <c r="I313" s="14" t="str">
        <f t="shared" si="1"/>
        <v>Approval Threshold</v>
      </c>
    </row>
    <row r="314">
      <c r="A314" s="18" t="s">
        <v>1153</v>
      </c>
      <c r="B314" s="22">
        <v>90.0</v>
      </c>
      <c r="C314" s="9">
        <v>9116358.0</v>
      </c>
      <c r="D314" s="9">
        <v>9574018.0</v>
      </c>
      <c r="E314" s="10" t="str">
        <f>IF(C314&gt;percent,"YES","NO")</f>
        <v>NO</v>
      </c>
      <c r="F314" s="19">
        <v>45000.0</v>
      </c>
      <c r="G314" s="12" t="str">
        <f t="shared" si="2"/>
        <v>NOT FUNDED</v>
      </c>
      <c r="H314" s="20">
        <f t="shared" si="3"/>
        <v>1286190</v>
      </c>
      <c r="I314" s="14" t="str">
        <f t="shared" si="1"/>
        <v>Approval Threshold</v>
      </c>
    </row>
    <row r="315">
      <c r="A315" s="18" t="s">
        <v>1154</v>
      </c>
      <c r="B315" s="22">
        <v>99.0</v>
      </c>
      <c r="C315" s="9">
        <v>9069846.0</v>
      </c>
      <c r="D315" s="9">
        <v>1.1913292E7</v>
      </c>
      <c r="E315" s="10" t="str">
        <f>IF(C315&gt;percent,"YES","NO")</f>
        <v>NO</v>
      </c>
      <c r="F315" s="19">
        <v>47000.0</v>
      </c>
      <c r="G315" s="12" t="str">
        <f t="shared" si="2"/>
        <v>NOT FUNDED</v>
      </c>
      <c r="H315" s="20">
        <f t="shared" si="3"/>
        <v>1286190</v>
      </c>
      <c r="I315" s="14" t="str">
        <f t="shared" si="1"/>
        <v>Approval Threshold</v>
      </c>
    </row>
    <row r="316">
      <c r="A316" s="18" t="s">
        <v>1155</v>
      </c>
      <c r="B316" s="22">
        <v>118.0</v>
      </c>
      <c r="C316" s="9">
        <v>9056852.0</v>
      </c>
      <c r="D316" s="9">
        <v>1.3018495E7</v>
      </c>
      <c r="E316" s="10" t="str">
        <f>IF(C316&gt;percent,"YES","NO")</f>
        <v>NO</v>
      </c>
      <c r="F316" s="19">
        <v>40000.0</v>
      </c>
      <c r="G316" s="12" t="str">
        <f t="shared" si="2"/>
        <v>NOT FUNDED</v>
      </c>
      <c r="H316" s="20">
        <f t="shared" si="3"/>
        <v>1286190</v>
      </c>
      <c r="I316" s="14" t="str">
        <f t="shared" si="1"/>
        <v>Approval Threshold</v>
      </c>
    </row>
    <row r="317">
      <c r="A317" s="18" t="s">
        <v>1156</v>
      </c>
      <c r="B317" s="22">
        <v>99.0</v>
      </c>
      <c r="C317" s="9">
        <v>8945758.0</v>
      </c>
      <c r="D317" s="9">
        <v>8711797.0</v>
      </c>
      <c r="E317" s="10" t="str">
        <f>IF(C317&gt;percent,"YES","NO")</f>
        <v>NO</v>
      </c>
      <c r="F317" s="19">
        <v>40000.0</v>
      </c>
      <c r="G317" s="12" t="str">
        <f t="shared" si="2"/>
        <v>NOT FUNDED</v>
      </c>
      <c r="H317" s="20">
        <f t="shared" si="3"/>
        <v>1286190</v>
      </c>
      <c r="I317" s="14" t="str">
        <f t="shared" si="1"/>
        <v>Approval Threshold</v>
      </c>
    </row>
    <row r="318">
      <c r="A318" s="18" t="s">
        <v>1157</v>
      </c>
      <c r="B318" s="22">
        <v>114.0</v>
      </c>
      <c r="C318" s="9">
        <v>8883712.0</v>
      </c>
      <c r="D318" s="9">
        <v>9451066.0</v>
      </c>
      <c r="E318" s="10" t="str">
        <f>IF(C318&gt;percent,"YES","NO")</f>
        <v>NO</v>
      </c>
      <c r="F318" s="19">
        <v>50000.0</v>
      </c>
      <c r="G318" s="12" t="str">
        <f t="shared" si="2"/>
        <v>NOT FUNDED</v>
      </c>
      <c r="H318" s="20">
        <f t="shared" si="3"/>
        <v>1286190</v>
      </c>
      <c r="I318" s="14" t="str">
        <f t="shared" si="1"/>
        <v>Approval Threshold</v>
      </c>
    </row>
    <row r="319">
      <c r="A319" s="18" t="s">
        <v>1158</v>
      </c>
      <c r="B319" s="22">
        <v>115.0</v>
      </c>
      <c r="C319" s="9">
        <v>8874403.0</v>
      </c>
      <c r="D319" s="9">
        <v>1.4288528E7</v>
      </c>
      <c r="E319" s="10" t="str">
        <f>IF(C319&gt;percent,"YES","NO")</f>
        <v>NO</v>
      </c>
      <c r="F319" s="19">
        <v>60000.0</v>
      </c>
      <c r="G319" s="12" t="str">
        <f t="shared" si="2"/>
        <v>NOT FUNDED</v>
      </c>
      <c r="H319" s="20">
        <f t="shared" si="3"/>
        <v>1286190</v>
      </c>
      <c r="I319" s="14" t="str">
        <f t="shared" si="1"/>
        <v>Approval Threshold</v>
      </c>
    </row>
    <row r="320">
      <c r="A320" s="18" t="s">
        <v>1159</v>
      </c>
      <c r="B320" s="22">
        <v>100.0</v>
      </c>
      <c r="C320" s="9">
        <v>8853170.0</v>
      </c>
      <c r="D320" s="9">
        <v>1.1307283E7</v>
      </c>
      <c r="E320" s="10" t="str">
        <f>IF(C320&gt;percent,"YES","NO")</f>
        <v>NO</v>
      </c>
      <c r="F320" s="19">
        <v>40000.0</v>
      </c>
      <c r="G320" s="12" t="str">
        <f t="shared" si="2"/>
        <v>NOT FUNDED</v>
      </c>
      <c r="H320" s="20">
        <f t="shared" si="3"/>
        <v>1286190</v>
      </c>
      <c r="I320" s="14" t="str">
        <f t="shared" si="1"/>
        <v>Approval Threshold</v>
      </c>
    </row>
    <row r="321">
      <c r="A321" s="18" t="s">
        <v>1160</v>
      </c>
      <c r="B321" s="22">
        <v>117.0</v>
      </c>
      <c r="C321" s="9">
        <v>8807750.0</v>
      </c>
      <c r="D321" s="9">
        <v>8047534.0</v>
      </c>
      <c r="E321" s="10" t="str">
        <f>IF(C321&gt;percent,"YES","NO")</f>
        <v>NO</v>
      </c>
      <c r="F321" s="19">
        <v>30000.0</v>
      </c>
      <c r="G321" s="12" t="str">
        <f t="shared" si="2"/>
        <v>NOT FUNDED</v>
      </c>
      <c r="H321" s="20">
        <f t="shared" si="3"/>
        <v>1286190</v>
      </c>
      <c r="I321" s="14" t="str">
        <f t="shared" si="1"/>
        <v>Approval Threshold</v>
      </c>
    </row>
    <row r="322">
      <c r="A322" s="18" t="s">
        <v>1161</v>
      </c>
      <c r="B322" s="22">
        <v>107.0</v>
      </c>
      <c r="C322" s="9">
        <v>8791842.0</v>
      </c>
      <c r="D322" s="9">
        <v>1.4144098E7</v>
      </c>
      <c r="E322" s="10" t="str">
        <f>IF(C322&gt;percent,"YES","NO")</f>
        <v>NO</v>
      </c>
      <c r="F322" s="19">
        <v>60000.0</v>
      </c>
      <c r="G322" s="12" t="str">
        <f t="shared" si="2"/>
        <v>NOT FUNDED</v>
      </c>
      <c r="H322" s="20">
        <f t="shared" si="3"/>
        <v>1286190</v>
      </c>
      <c r="I322" s="14" t="str">
        <f t="shared" si="1"/>
        <v>Approval Threshold</v>
      </c>
    </row>
    <row r="323">
      <c r="A323" s="18" t="s">
        <v>1162</v>
      </c>
      <c r="B323" s="22">
        <v>91.0</v>
      </c>
      <c r="C323" s="9">
        <v>8743057.0</v>
      </c>
      <c r="D323" s="9">
        <v>8753796.0</v>
      </c>
      <c r="E323" s="10" t="str">
        <f>IF(C323&gt;percent,"YES","NO")</f>
        <v>NO</v>
      </c>
      <c r="F323" s="19">
        <v>30000.0</v>
      </c>
      <c r="G323" s="12" t="str">
        <f t="shared" si="2"/>
        <v>NOT FUNDED</v>
      </c>
      <c r="H323" s="20">
        <f t="shared" si="3"/>
        <v>1286190</v>
      </c>
      <c r="I323" s="14" t="str">
        <f t="shared" si="1"/>
        <v>Approval Threshold</v>
      </c>
    </row>
    <row r="324">
      <c r="A324" s="18" t="s">
        <v>1163</v>
      </c>
      <c r="B324" s="22">
        <v>101.0</v>
      </c>
      <c r="C324" s="9">
        <v>8653449.0</v>
      </c>
      <c r="D324" s="9">
        <v>8610090.0</v>
      </c>
      <c r="E324" s="10" t="str">
        <f>IF(C324&gt;percent,"YES","NO")</f>
        <v>NO</v>
      </c>
      <c r="F324" s="19">
        <v>30000.0</v>
      </c>
      <c r="G324" s="12" t="str">
        <f t="shared" si="2"/>
        <v>NOT FUNDED</v>
      </c>
      <c r="H324" s="20">
        <f t="shared" si="3"/>
        <v>1286190</v>
      </c>
      <c r="I324" s="14" t="str">
        <f t="shared" si="1"/>
        <v>Approval Threshold</v>
      </c>
    </row>
    <row r="325">
      <c r="A325" s="18" t="s">
        <v>1164</v>
      </c>
      <c r="B325" s="22">
        <v>113.0</v>
      </c>
      <c r="C325" s="9">
        <v>8610920.0</v>
      </c>
      <c r="D325" s="9">
        <v>1.3549983E7</v>
      </c>
      <c r="E325" s="10" t="str">
        <f>IF(C325&gt;percent,"YES","NO")</f>
        <v>NO</v>
      </c>
      <c r="F325" s="19">
        <v>50000.0</v>
      </c>
      <c r="G325" s="12" t="str">
        <f t="shared" si="2"/>
        <v>NOT FUNDED</v>
      </c>
      <c r="H325" s="20">
        <f t="shared" si="3"/>
        <v>1286190</v>
      </c>
      <c r="I325" s="14" t="str">
        <f t="shared" si="1"/>
        <v>Approval Threshold</v>
      </c>
    </row>
    <row r="326">
      <c r="A326" s="18" t="s">
        <v>1165</v>
      </c>
      <c r="B326" s="22">
        <v>110.0</v>
      </c>
      <c r="C326" s="9">
        <v>8606300.0</v>
      </c>
      <c r="D326" s="9">
        <v>1.0818063E7</v>
      </c>
      <c r="E326" s="10" t="str">
        <f>IF(C326&gt;percent,"YES","NO")</f>
        <v>NO</v>
      </c>
      <c r="F326" s="19">
        <v>35000.0</v>
      </c>
      <c r="G326" s="12" t="str">
        <f t="shared" si="2"/>
        <v>NOT FUNDED</v>
      </c>
      <c r="H326" s="20">
        <f t="shared" si="3"/>
        <v>1286190</v>
      </c>
      <c r="I326" s="14" t="str">
        <f t="shared" si="1"/>
        <v>Approval Threshold</v>
      </c>
    </row>
    <row r="327">
      <c r="A327" s="18" t="s">
        <v>1166</v>
      </c>
      <c r="B327" s="22">
        <v>106.0</v>
      </c>
      <c r="C327" s="9">
        <v>8602272.0</v>
      </c>
      <c r="D327" s="9">
        <v>1.0712579E7</v>
      </c>
      <c r="E327" s="10" t="str">
        <f>IF(C327&gt;percent,"YES","NO")</f>
        <v>NO</v>
      </c>
      <c r="F327" s="19">
        <v>32000.0</v>
      </c>
      <c r="G327" s="12" t="str">
        <f t="shared" si="2"/>
        <v>NOT FUNDED</v>
      </c>
      <c r="H327" s="20">
        <f t="shared" si="3"/>
        <v>1286190</v>
      </c>
      <c r="I327" s="14" t="str">
        <f t="shared" si="1"/>
        <v>Approval Threshold</v>
      </c>
    </row>
    <row r="328">
      <c r="A328" s="18" t="s">
        <v>1167</v>
      </c>
      <c r="B328" s="22">
        <v>101.0</v>
      </c>
      <c r="C328" s="9">
        <v>8577705.0</v>
      </c>
      <c r="D328" s="9">
        <v>1.0374024E7</v>
      </c>
      <c r="E328" s="10" t="str">
        <f>IF(C328&gt;percent,"YES","NO")</f>
        <v>NO</v>
      </c>
      <c r="F328" s="19">
        <v>25000.0</v>
      </c>
      <c r="G328" s="12" t="str">
        <f t="shared" si="2"/>
        <v>NOT FUNDED</v>
      </c>
      <c r="H328" s="20">
        <f t="shared" si="3"/>
        <v>1286190</v>
      </c>
      <c r="I328" s="14" t="str">
        <f t="shared" si="1"/>
        <v>Approval Threshold</v>
      </c>
    </row>
    <row r="329">
      <c r="A329" s="18" t="s">
        <v>1168</v>
      </c>
      <c r="B329" s="22">
        <v>100.0</v>
      </c>
      <c r="C329" s="9">
        <v>8541479.0</v>
      </c>
      <c r="D329" s="9">
        <v>8033329.0</v>
      </c>
      <c r="E329" s="10" t="str">
        <f>IF(C329&gt;percent,"YES","NO")</f>
        <v>NO</v>
      </c>
      <c r="F329" s="19">
        <v>54600.0</v>
      </c>
      <c r="G329" s="12" t="str">
        <f t="shared" si="2"/>
        <v>NOT FUNDED</v>
      </c>
      <c r="H329" s="20">
        <f t="shared" si="3"/>
        <v>1286190</v>
      </c>
      <c r="I329" s="14" t="str">
        <f t="shared" si="1"/>
        <v>Approval Threshold</v>
      </c>
    </row>
    <row r="330">
      <c r="A330" s="18" t="s">
        <v>1169</v>
      </c>
      <c r="B330" s="22">
        <v>109.0</v>
      </c>
      <c r="C330" s="9">
        <v>8521517.0</v>
      </c>
      <c r="D330" s="9">
        <v>1.6436769E7</v>
      </c>
      <c r="E330" s="10" t="str">
        <f>IF(C330&gt;percent,"YES","NO")</f>
        <v>NO</v>
      </c>
      <c r="F330" s="19">
        <v>60000.0</v>
      </c>
      <c r="G330" s="12" t="str">
        <f t="shared" si="2"/>
        <v>NOT FUNDED</v>
      </c>
      <c r="H330" s="20">
        <f t="shared" si="3"/>
        <v>1286190</v>
      </c>
      <c r="I330" s="14" t="str">
        <f t="shared" si="1"/>
        <v>Approval Threshold</v>
      </c>
    </row>
    <row r="331">
      <c r="A331" s="18" t="s">
        <v>1170</v>
      </c>
      <c r="B331" s="22">
        <v>128.0</v>
      </c>
      <c r="C331" s="9">
        <v>8478178.0</v>
      </c>
      <c r="D331" s="9">
        <v>1.4720584E7</v>
      </c>
      <c r="E331" s="10" t="str">
        <f>IF(C331&gt;percent,"YES","NO")</f>
        <v>NO</v>
      </c>
      <c r="F331" s="19">
        <v>60000.0</v>
      </c>
      <c r="G331" s="12" t="str">
        <f t="shared" si="2"/>
        <v>NOT FUNDED</v>
      </c>
      <c r="H331" s="20">
        <f t="shared" si="3"/>
        <v>1286190</v>
      </c>
      <c r="I331" s="14" t="str">
        <f t="shared" si="1"/>
        <v>Approval Threshold</v>
      </c>
    </row>
    <row r="332">
      <c r="A332" s="18" t="s">
        <v>1171</v>
      </c>
      <c r="B332" s="22">
        <v>112.0</v>
      </c>
      <c r="C332" s="9">
        <v>8463112.0</v>
      </c>
      <c r="D332" s="9">
        <v>1.1644249E7</v>
      </c>
      <c r="E332" s="10" t="str">
        <f>IF(C332&gt;percent,"YES","NO")</f>
        <v>NO</v>
      </c>
      <c r="F332" s="19">
        <v>20000.0</v>
      </c>
      <c r="G332" s="12" t="str">
        <f t="shared" si="2"/>
        <v>NOT FUNDED</v>
      </c>
      <c r="H332" s="20">
        <f t="shared" si="3"/>
        <v>1286190</v>
      </c>
      <c r="I332" s="14" t="str">
        <f t="shared" si="1"/>
        <v>Approval Threshold</v>
      </c>
    </row>
    <row r="333">
      <c r="A333" s="18" t="s">
        <v>1172</v>
      </c>
      <c r="B333" s="22">
        <v>127.0</v>
      </c>
      <c r="C333" s="9">
        <v>8444794.0</v>
      </c>
      <c r="D333" s="9">
        <v>8393807.0</v>
      </c>
      <c r="E333" s="10" t="str">
        <f>IF(C333&gt;percent,"YES","NO")</f>
        <v>NO</v>
      </c>
      <c r="F333" s="19">
        <v>18500.0</v>
      </c>
      <c r="G333" s="12" t="str">
        <f t="shared" si="2"/>
        <v>NOT FUNDED</v>
      </c>
      <c r="H333" s="20">
        <f t="shared" si="3"/>
        <v>1286190</v>
      </c>
      <c r="I333" s="14" t="str">
        <f t="shared" si="1"/>
        <v>Approval Threshold</v>
      </c>
    </row>
    <row r="334">
      <c r="A334" s="18" t="s">
        <v>1173</v>
      </c>
      <c r="B334" s="22">
        <v>96.0</v>
      </c>
      <c r="C334" s="9">
        <v>8438410.0</v>
      </c>
      <c r="D334" s="9">
        <v>1.2060689E7</v>
      </c>
      <c r="E334" s="10" t="str">
        <f>IF(C334&gt;percent,"YES","NO")</f>
        <v>NO</v>
      </c>
      <c r="F334" s="19">
        <v>45000.0</v>
      </c>
      <c r="G334" s="12" t="str">
        <f t="shared" si="2"/>
        <v>NOT FUNDED</v>
      </c>
      <c r="H334" s="20">
        <f t="shared" si="3"/>
        <v>1286190</v>
      </c>
      <c r="I334" s="14" t="str">
        <f t="shared" si="1"/>
        <v>Approval Threshold</v>
      </c>
    </row>
    <row r="335">
      <c r="A335" s="18" t="s">
        <v>1174</v>
      </c>
      <c r="B335" s="22">
        <v>93.0</v>
      </c>
      <c r="C335" s="9">
        <v>8433986.0</v>
      </c>
      <c r="D335" s="9">
        <v>8823021.0</v>
      </c>
      <c r="E335" s="10" t="str">
        <f>IF(C335&gt;percent,"YES","NO")</f>
        <v>NO</v>
      </c>
      <c r="F335" s="19">
        <v>49000.0</v>
      </c>
      <c r="G335" s="12" t="str">
        <f t="shared" si="2"/>
        <v>NOT FUNDED</v>
      </c>
      <c r="H335" s="20">
        <f t="shared" si="3"/>
        <v>1286190</v>
      </c>
      <c r="I335" s="14" t="str">
        <f t="shared" si="1"/>
        <v>Approval Threshold</v>
      </c>
    </row>
    <row r="336">
      <c r="A336" s="18" t="s">
        <v>1175</v>
      </c>
      <c r="B336" s="22">
        <v>110.0</v>
      </c>
      <c r="C336" s="9">
        <v>8391408.0</v>
      </c>
      <c r="D336" s="9">
        <v>1.0104897E7</v>
      </c>
      <c r="E336" s="10" t="str">
        <f>IF(C336&gt;percent,"YES","NO")</f>
        <v>NO</v>
      </c>
      <c r="F336" s="19">
        <v>59800.0</v>
      </c>
      <c r="G336" s="12" t="str">
        <f t="shared" si="2"/>
        <v>NOT FUNDED</v>
      </c>
      <c r="H336" s="20">
        <f t="shared" si="3"/>
        <v>1286190</v>
      </c>
      <c r="I336" s="14" t="str">
        <f t="shared" si="1"/>
        <v>Approval Threshold</v>
      </c>
    </row>
    <row r="337">
      <c r="A337" s="18" t="s">
        <v>1176</v>
      </c>
      <c r="B337" s="22">
        <v>105.0</v>
      </c>
      <c r="C337" s="9">
        <v>8288051.0</v>
      </c>
      <c r="D337" s="9">
        <v>1.4945183E7</v>
      </c>
      <c r="E337" s="10" t="str">
        <f>IF(C337&gt;percent,"YES","NO")</f>
        <v>NO</v>
      </c>
      <c r="F337" s="19">
        <v>60000.0</v>
      </c>
      <c r="G337" s="12" t="str">
        <f t="shared" si="2"/>
        <v>NOT FUNDED</v>
      </c>
      <c r="H337" s="20">
        <f t="shared" si="3"/>
        <v>1286190</v>
      </c>
      <c r="I337" s="14" t="str">
        <f t="shared" si="1"/>
        <v>Approval Threshold</v>
      </c>
    </row>
    <row r="338">
      <c r="A338" s="18" t="s">
        <v>1177</v>
      </c>
      <c r="B338" s="22">
        <v>107.0</v>
      </c>
      <c r="C338" s="9">
        <v>8269790.0</v>
      </c>
      <c r="D338" s="9">
        <v>8939207.0</v>
      </c>
      <c r="E338" s="10" t="str">
        <f>IF(C338&gt;percent,"YES","NO")</f>
        <v>NO</v>
      </c>
      <c r="F338" s="19">
        <v>50000.0</v>
      </c>
      <c r="G338" s="12" t="str">
        <f t="shared" si="2"/>
        <v>NOT FUNDED</v>
      </c>
      <c r="H338" s="20">
        <f t="shared" si="3"/>
        <v>1286190</v>
      </c>
      <c r="I338" s="14" t="str">
        <f t="shared" si="1"/>
        <v>Approval Threshold</v>
      </c>
    </row>
    <row r="339">
      <c r="A339" s="18" t="s">
        <v>1178</v>
      </c>
      <c r="B339" s="22">
        <v>95.0</v>
      </c>
      <c r="C339" s="9">
        <v>8237713.0</v>
      </c>
      <c r="D339" s="9">
        <v>9212565.0</v>
      </c>
      <c r="E339" s="10" t="str">
        <f>IF(C339&gt;percent,"YES","NO")</f>
        <v>NO</v>
      </c>
      <c r="F339" s="19">
        <v>58000.0</v>
      </c>
      <c r="G339" s="12" t="str">
        <f t="shared" si="2"/>
        <v>NOT FUNDED</v>
      </c>
      <c r="H339" s="20">
        <f t="shared" si="3"/>
        <v>1286190</v>
      </c>
      <c r="I339" s="14" t="str">
        <f t="shared" si="1"/>
        <v>Approval Threshold</v>
      </c>
    </row>
    <row r="340">
      <c r="A340" s="18" t="s">
        <v>1179</v>
      </c>
      <c r="B340" s="22">
        <v>101.0</v>
      </c>
      <c r="C340" s="9">
        <v>8217221.0</v>
      </c>
      <c r="D340" s="9">
        <v>1.0001047E7</v>
      </c>
      <c r="E340" s="10" t="str">
        <f>IF(C340&gt;percent,"YES","NO")</f>
        <v>NO</v>
      </c>
      <c r="F340" s="19">
        <v>45000.0</v>
      </c>
      <c r="G340" s="12" t="str">
        <f t="shared" si="2"/>
        <v>NOT FUNDED</v>
      </c>
      <c r="H340" s="20">
        <f t="shared" si="3"/>
        <v>1286190</v>
      </c>
      <c r="I340" s="14" t="str">
        <f t="shared" si="1"/>
        <v>Approval Threshold</v>
      </c>
    </row>
    <row r="341">
      <c r="A341" s="18" t="s">
        <v>1180</v>
      </c>
      <c r="B341" s="22">
        <v>100.0</v>
      </c>
      <c r="C341" s="9">
        <v>8198803.0</v>
      </c>
      <c r="D341" s="9">
        <v>7871065.0</v>
      </c>
      <c r="E341" s="10" t="str">
        <f>IF(C341&gt;percent,"YES","NO")</f>
        <v>NO</v>
      </c>
      <c r="F341" s="19">
        <v>28900.0</v>
      </c>
      <c r="G341" s="12" t="str">
        <f t="shared" si="2"/>
        <v>NOT FUNDED</v>
      </c>
      <c r="H341" s="20">
        <f t="shared" si="3"/>
        <v>1286190</v>
      </c>
      <c r="I341" s="14" t="str">
        <f t="shared" si="1"/>
        <v>Approval Threshold</v>
      </c>
    </row>
    <row r="342">
      <c r="A342" s="18" t="s">
        <v>1181</v>
      </c>
      <c r="B342" s="22">
        <v>88.0</v>
      </c>
      <c r="C342" s="9">
        <v>8197624.0</v>
      </c>
      <c r="D342" s="9">
        <v>1.4216794E7</v>
      </c>
      <c r="E342" s="10" t="str">
        <f>IF(C342&gt;percent,"YES","NO")</f>
        <v>NO</v>
      </c>
      <c r="F342" s="19">
        <v>40300.0</v>
      </c>
      <c r="G342" s="12" t="str">
        <f t="shared" si="2"/>
        <v>NOT FUNDED</v>
      </c>
      <c r="H342" s="20">
        <f t="shared" si="3"/>
        <v>1286190</v>
      </c>
      <c r="I342" s="14" t="str">
        <f t="shared" si="1"/>
        <v>Approval Threshold</v>
      </c>
    </row>
    <row r="343">
      <c r="A343" s="18" t="s">
        <v>1182</v>
      </c>
      <c r="B343" s="22">
        <v>113.0</v>
      </c>
      <c r="C343" s="9">
        <v>8182548.0</v>
      </c>
      <c r="D343" s="9">
        <v>2.4556959E7</v>
      </c>
      <c r="E343" s="10" t="str">
        <f>IF(C343&gt;percent,"YES","NO")</f>
        <v>NO</v>
      </c>
      <c r="F343" s="19">
        <v>59500.0</v>
      </c>
      <c r="G343" s="12" t="str">
        <f t="shared" si="2"/>
        <v>NOT FUNDED</v>
      </c>
      <c r="H343" s="20">
        <f t="shared" si="3"/>
        <v>1286190</v>
      </c>
      <c r="I343" s="14" t="str">
        <f t="shared" si="1"/>
        <v>Approval Threshold</v>
      </c>
    </row>
    <row r="344">
      <c r="A344" s="18" t="s">
        <v>1183</v>
      </c>
      <c r="B344" s="22">
        <v>110.0</v>
      </c>
      <c r="C344" s="9">
        <v>8124634.0</v>
      </c>
      <c r="D344" s="9">
        <v>1.3949376E7</v>
      </c>
      <c r="E344" s="10" t="str">
        <f>IF(C344&gt;percent,"YES","NO")</f>
        <v>NO</v>
      </c>
      <c r="F344" s="19">
        <v>60000.0</v>
      </c>
      <c r="G344" s="12" t="str">
        <f t="shared" si="2"/>
        <v>NOT FUNDED</v>
      </c>
      <c r="H344" s="20">
        <f t="shared" si="3"/>
        <v>1286190</v>
      </c>
      <c r="I344" s="14" t="str">
        <f t="shared" si="1"/>
        <v>Approval Threshold</v>
      </c>
    </row>
    <row r="345">
      <c r="A345" s="18" t="s">
        <v>1184</v>
      </c>
      <c r="B345" s="22">
        <v>144.0</v>
      </c>
      <c r="C345" s="9">
        <v>8097697.0</v>
      </c>
      <c r="D345" s="9">
        <v>8946449.0</v>
      </c>
      <c r="E345" s="10" t="str">
        <f>IF(C345&gt;percent,"YES","NO")</f>
        <v>NO</v>
      </c>
      <c r="F345" s="19">
        <v>30120.0</v>
      </c>
      <c r="G345" s="12" t="str">
        <f t="shared" si="2"/>
        <v>NOT FUNDED</v>
      </c>
      <c r="H345" s="20">
        <f t="shared" si="3"/>
        <v>1286190</v>
      </c>
      <c r="I345" s="14" t="str">
        <f t="shared" si="1"/>
        <v>Approval Threshold</v>
      </c>
    </row>
    <row r="346">
      <c r="A346" s="18" t="s">
        <v>1185</v>
      </c>
      <c r="B346" s="22">
        <v>105.0</v>
      </c>
      <c r="C346" s="9">
        <v>8091713.0</v>
      </c>
      <c r="D346" s="9">
        <v>1.1359083E7</v>
      </c>
      <c r="E346" s="10" t="str">
        <f>IF(C346&gt;percent,"YES","NO")</f>
        <v>NO</v>
      </c>
      <c r="F346" s="19">
        <v>58000.0</v>
      </c>
      <c r="G346" s="12" t="str">
        <f t="shared" si="2"/>
        <v>NOT FUNDED</v>
      </c>
      <c r="H346" s="20">
        <f t="shared" si="3"/>
        <v>1286190</v>
      </c>
      <c r="I346" s="14" t="str">
        <f t="shared" si="1"/>
        <v>Approval Threshold</v>
      </c>
    </row>
    <row r="347">
      <c r="A347" s="18" t="s">
        <v>1186</v>
      </c>
      <c r="B347" s="22">
        <v>125.0</v>
      </c>
      <c r="C347" s="9">
        <v>8090146.0</v>
      </c>
      <c r="D347" s="9">
        <v>1.854522E7</v>
      </c>
      <c r="E347" s="10" t="str">
        <f>IF(C347&gt;percent,"YES","NO")</f>
        <v>NO</v>
      </c>
      <c r="F347" s="19">
        <v>60000.0</v>
      </c>
      <c r="G347" s="12" t="str">
        <f t="shared" si="2"/>
        <v>NOT FUNDED</v>
      </c>
      <c r="H347" s="20">
        <f t="shared" si="3"/>
        <v>1286190</v>
      </c>
      <c r="I347" s="14" t="str">
        <f t="shared" si="1"/>
        <v>Approval Threshold</v>
      </c>
    </row>
    <row r="348">
      <c r="A348" s="18" t="s">
        <v>1187</v>
      </c>
      <c r="B348" s="22">
        <v>114.0</v>
      </c>
      <c r="C348" s="9">
        <v>8090022.0</v>
      </c>
      <c r="D348" s="9">
        <v>1.8959781E7</v>
      </c>
      <c r="E348" s="10" t="str">
        <f>IF(C348&gt;percent,"YES","NO")</f>
        <v>NO</v>
      </c>
      <c r="F348" s="19">
        <v>60000.0</v>
      </c>
      <c r="G348" s="12" t="str">
        <f t="shared" si="2"/>
        <v>NOT FUNDED</v>
      </c>
      <c r="H348" s="20">
        <f t="shared" si="3"/>
        <v>1286190</v>
      </c>
      <c r="I348" s="14" t="str">
        <f t="shared" si="1"/>
        <v>Approval Threshold</v>
      </c>
    </row>
    <row r="349">
      <c r="A349" s="18" t="s">
        <v>1188</v>
      </c>
      <c r="B349" s="22">
        <v>109.0</v>
      </c>
      <c r="C349" s="9">
        <v>8051994.0</v>
      </c>
      <c r="D349" s="9">
        <v>1.3860909E7</v>
      </c>
      <c r="E349" s="10" t="str">
        <f>IF(C349&gt;percent,"YES","NO")</f>
        <v>NO</v>
      </c>
      <c r="F349" s="19">
        <v>46000.0</v>
      </c>
      <c r="G349" s="12" t="str">
        <f t="shared" si="2"/>
        <v>NOT FUNDED</v>
      </c>
      <c r="H349" s="20">
        <f t="shared" si="3"/>
        <v>1286190</v>
      </c>
      <c r="I349" s="14" t="str">
        <f t="shared" si="1"/>
        <v>Approval Threshold</v>
      </c>
    </row>
    <row r="350">
      <c r="A350" s="18" t="s">
        <v>1189</v>
      </c>
      <c r="B350" s="22">
        <v>100.0</v>
      </c>
      <c r="C350" s="9">
        <v>8043892.0</v>
      </c>
      <c r="D350" s="9">
        <v>1.221718E7</v>
      </c>
      <c r="E350" s="10" t="str">
        <f>IF(C350&gt;percent,"YES","NO")</f>
        <v>NO</v>
      </c>
      <c r="F350" s="19">
        <v>49000.0</v>
      </c>
      <c r="G350" s="12" t="str">
        <f t="shared" si="2"/>
        <v>NOT FUNDED</v>
      </c>
      <c r="H350" s="20">
        <f t="shared" si="3"/>
        <v>1286190</v>
      </c>
      <c r="I350" s="14" t="str">
        <f t="shared" si="1"/>
        <v>Approval Threshold</v>
      </c>
    </row>
    <row r="351">
      <c r="A351" s="18" t="s">
        <v>1190</v>
      </c>
      <c r="B351" s="22">
        <v>100.0</v>
      </c>
      <c r="C351" s="9">
        <v>8023639.0</v>
      </c>
      <c r="D351" s="9">
        <v>9846990.0</v>
      </c>
      <c r="E351" s="10" t="str">
        <f>IF(C351&gt;percent,"YES","NO")</f>
        <v>NO</v>
      </c>
      <c r="F351" s="19">
        <v>54000.0</v>
      </c>
      <c r="G351" s="12" t="str">
        <f t="shared" si="2"/>
        <v>NOT FUNDED</v>
      </c>
      <c r="H351" s="20">
        <f t="shared" si="3"/>
        <v>1286190</v>
      </c>
      <c r="I351" s="14" t="str">
        <f t="shared" si="1"/>
        <v>Approval Threshold</v>
      </c>
    </row>
    <row r="352">
      <c r="A352" s="18" t="s">
        <v>1191</v>
      </c>
      <c r="B352" s="22">
        <v>98.0</v>
      </c>
      <c r="C352" s="9">
        <v>7955724.0</v>
      </c>
      <c r="D352" s="9">
        <v>9717150.0</v>
      </c>
      <c r="E352" s="10" t="str">
        <f>IF(C352&gt;percent,"YES","NO")</f>
        <v>NO</v>
      </c>
      <c r="F352" s="19">
        <v>55000.0</v>
      </c>
      <c r="G352" s="12" t="str">
        <f t="shared" si="2"/>
        <v>NOT FUNDED</v>
      </c>
      <c r="H352" s="20">
        <f t="shared" si="3"/>
        <v>1286190</v>
      </c>
      <c r="I352" s="14" t="str">
        <f t="shared" si="1"/>
        <v>Approval Threshold</v>
      </c>
    </row>
    <row r="353">
      <c r="A353" s="18" t="s">
        <v>1192</v>
      </c>
      <c r="B353" s="22">
        <v>103.0</v>
      </c>
      <c r="C353" s="9">
        <v>7937816.0</v>
      </c>
      <c r="D353" s="9">
        <v>1.5148733E7</v>
      </c>
      <c r="E353" s="10" t="str">
        <f>IF(C353&gt;percent,"YES","NO")</f>
        <v>NO</v>
      </c>
      <c r="F353" s="19">
        <v>43000.0</v>
      </c>
      <c r="G353" s="12" t="str">
        <f t="shared" si="2"/>
        <v>NOT FUNDED</v>
      </c>
      <c r="H353" s="20">
        <f t="shared" si="3"/>
        <v>1286190</v>
      </c>
      <c r="I353" s="14" t="str">
        <f t="shared" si="1"/>
        <v>Approval Threshold</v>
      </c>
    </row>
    <row r="354">
      <c r="A354" s="18" t="s">
        <v>1193</v>
      </c>
      <c r="B354" s="22">
        <v>97.0</v>
      </c>
      <c r="C354" s="9">
        <v>7929180.0</v>
      </c>
      <c r="D354" s="9">
        <v>1.1323275E7</v>
      </c>
      <c r="E354" s="10" t="str">
        <f>IF(C354&gt;percent,"YES","NO")</f>
        <v>NO</v>
      </c>
      <c r="F354" s="19">
        <v>37440.0</v>
      </c>
      <c r="G354" s="12" t="str">
        <f t="shared" si="2"/>
        <v>NOT FUNDED</v>
      </c>
      <c r="H354" s="20">
        <f t="shared" si="3"/>
        <v>1286190</v>
      </c>
      <c r="I354" s="14" t="str">
        <f t="shared" si="1"/>
        <v>Approval Threshold</v>
      </c>
    </row>
    <row r="355">
      <c r="A355" s="18" t="s">
        <v>1194</v>
      </c>
      <c r="B355" s="22">
        <v>95.0</v>
      </c>
      <c r="C355" s="9">
        <v>7868278.0</v>
      </c>
      <c r="D355" s="9">
        <v>7223392.0</v>
      </c>
      <c r="E355" s="10" t="str">
        <f>IF(C355&gt;percent,"YES","NO")</f>
        <v>NO</v>
      </c>
      <c r="F355" s="19">
        <v>56000.0</v>
      </c>
      <c r="G355" s="12" t="str">
        <f t="shared" si="2"/>
        <v>NOT FUNDED</v>
      </c>
      <c r="H355" s="20">
        <f t="shared" si="3"/>
        <v>1286190</v>
      </c>
      <c r="I355" s="14" t="str">
        <f t="shared" si="1"/>
        <v>Approval Threshold</v>
      </c>
    </row>
    <row r="356">
      <c r="A356" s="18" t="s">
        <v>1195</v>
      </c>
      <c r="B356" s="22">
        <v>101.0</v>
      </c>
      <c r="C356" s="9">
        <v>7861937.0</v>
      </c>
      <c r="D356" s="9">
        <v>7850849.0</v>
      </c>
      <c r="E356" s="10" t="str">
        <f>IF(C356&gt;percent,"YES","NO")</f>
        <v>NO</v>
      </c>
      <c r="F356" s="19">
        <v>48000.0</v>
      </c>
      <c r="G356" s="12" t="str">
        <f t="shared" si="2"/>
        <v>NOT FUNDED</v>
      </c>
      <c r="H356" s="20">
        <f t="shared" si="3"/>
        <v>1286190</v>
      </c>
      <c r="I356" s="14" t="str">
        <f t="shared" si="1"/>
        <v>Approval Threshold</v>
      </c>
    </row>
    <row r="357">
      <c r="A357" s="18" t="s">
        <v>1196</v>
      </c>
      <c r="B357" s="22">
        <v>109.0</v>
      </c>
      <c r="C357" s="9">
        <v>7815141.0</v>
      </c>
      <c r="D357" s="9">
        <v>9780140.0</v>
      </c>
      <c r="E357" s="10" t="str">
        <f>IF(C357&gt;percent,"YES","NO")</f>
        <v>NO</v>
      </c>
      <c r="F357" s="19">
        <v>50000.0</v>
      </c>
      <c r="G357" s="12" t="str">
        <f t="shared" si="2"/>
        <v>NOT FUNDED</v>
      </c>
      <c r="H357" s="20">
        <f t="shared" si="3"/>
        <v>1286190</v>
      </c>
      <c r="I357" s="14" t="str">
        <f t="shared" si="1"/>
        <v>Approval Threshold</v>
      </c>
    </row>
    <row r="358">
      <c r="A358" s="18" t="s">
        <v>1197</v>
      </c>
      <c r="B358" s="22">
        <v>87.0</v>
      </c>
      <c r="C358" s="9">
        <v>7797465.0</v>
      </c>
      <c r="D358" s="9">
        <v>9033044.0</v>
      </c>
      <c r="E358" s="10" t="str">
        <f>IF(C358&gt;percent,"YES","NO")</f>
        <v>NO</v>
      </c>
      <c r="F358" s="19">
        <v>55000.0</v>
      </c>
      <c r="G358" s="12" t="str">
        <f t="shared" si="2"/>
        <v>NOT FUNDED</v>
      </c>
      <c r="H358" s="20">
        <f t="shared" si="3"/>
        <v>1286190</v>
      </c>
      <c r="I358" s="14" t="str">
        <f t="shared" si="1"/>
        <v>Approval Threshold</v>
      </c>
    </row>
    <row r="359">
      <c r="A359" s="18" t="s">
        <v>1198</v>
      </c>
      <c r="B359" s="22">
        <v>111.0</v>
      </c>
      <c r="C359" s="9">
        <v>7791262.0</v>
      </c>
      <c r="D359" s="9">
        <v>1.330988E7</v>
      </c>
      <c r="E359" s="10" t="str">
        <f>IF(C359&gt;percent,"YES","NO")</f>
        <v>NO</v>
      </c>
      <c r="F359" s="19">
        <v>52000.0</v>
      </c>
      <c r="G359" s="12" t="str">
        <f t="shared" si="2"/>
        <v>NOT FUNDED</v>
      </c>
      <c r="H359" s="20">
        <f t="shared" si="3"/>
        <v>1286190</v>
      </c>
      <c r="I359" s="14" t="str">
        <f t="shared" si="1"/>
        <v>Approval Threshold</v>
      </c>
    </row>
    <row r="360">
      <c r="A360" s="18" t="s">
        <v>1199</v>
      </c>
      <c r="B360" s="22">
        <v>117.0</v>
      </c>
      <c r="C360" s="9">
        <v>7765129.0</v>
      </c>
      <c r="D360" s="9">
        <v>1.4787057E7</v>
      </c>
      <c r="E360" s="10" t="str">
        <f>IF(C360&gt;percent,"YES","NO")</f>
        <v>NO</v>
      </c>
      <c r="F360" s="19">
        <v>60000.0</v>
      </c>
      <c r="G360" s="12" t="str">
        <f t="shared" si="2"/>
        <v>NOT FUNDED</v>
      </c>
      <c r="H360" s="20">
        <f t="shared" si="3"/>
        <v>1286190</v>
      </c>
      <c r="I360" s="14" t="str">
        <f t="shared" si="1"/>
        <v>Approval Threshold</v>
      </c>
    </row>
    <row r="361">
      <c r="A361" s="18" t="s">
        <v>1200</v>
      </c>
      <c r="B361" s="22">
        <v>80.0</v>
      </c>
      <c r="C361" s="9">
        <v>7756782.0</v>
      </c>
      <c r="D361" s="9">
        <v>7390233.0</v>
      </c>
      <c r="E361" s="10" t="str">
        <f>IF(C361&gt;percent,"YES","NO")</f>
        <v>NO</v>
      </c>
      <c r="F361" s="19">
        <v>35000.0</v>
      </c>
      <c r="G361" s="12" t="str">
        <f t="shared" si="2"/>
        <v>NOT FUNDED</v>
      </c>
      <c r="H361" s="20">
        <f t="shared" si="3"/>
        <v>1286190</v>
      </c>
      <c r="I361" s="14" t="str">
        <f t="shared" si="1"/>
        <v>Approval Threshold</v>
      </c>
    </row>
    <row r="362">
      <c r="A362" s="18" t="s">
        <v>1201</v>
      </c>
      <c r="B362" s="22">
        <v>98.0</v>
      </c>
      <c r="C362" s="9">
        <v>7708614.0</v>
      </c>
      <c r="D362" s="9">
        <v>1.2277914E7</v>
      </c>
      <c r="E362" s="10" t="str">
        <f>IF(C362&gt;percent,"YES","NO")</f>
        <v>NO</v>
      </c>
      <c r="F362" s="19">
        <v>30571.0</v>
      </c>
      <c r="G362" s="12" t="str">
        <f t="shared" si="2"/>
        <v>NOT FUNDED</v>
      </c>
      <c r="H362" s="20">
        <f t="shared" si="3"/>
        <v>1286190</v>
      </c>
      <c r="I362" s="14" t="str">
        <f t="shared" si="1"/>
        <v>Approval Threshold</v>
      </c>
    </row>
    <row r="363">
      <c r="A363" s="18" t="s">
        <v>1202</v>
      </c>
      <c r="B363" s="22">
        <v>102.0</v>
      </c>
      <c r="C363" s="9">
        <v>7704172.0</v>
      </c>
      <c r="D363" s="9">
        <v>1.188961E7</v>
      </c>
      <c r="E363" s="10" t="str">
        <f>IF(C363&gt;percent,"YES","NO")</f>
        <v>NO</v>
      </c>
      <c r="F363" s="19">
        <v>35000.0</v>
      </c>
      <c r="G363" s="12" t="str">
        <f t="shared" si="2"/>
        <v>NOT FUNDED</v>
      </c>
      <c r="H363" s="20">
        <f t="shared" si="3"/>
        <v>1286190</v>
      </c>
      <c r="I363" s="14" t="str">
        <f t="shared" si="1"/>
        <v>Approval Threshold</v>
      </c>
    </row>
    <row r="364">
      <c r="A364" s="18" t="s">
        <v>1203</v>
      </c>
      <c r="B364" s="22">
        <v>94.0</v>
      </c>
      <c r="C364" s="9">
        <v>7690926.0</v>
      </c>
      <c r="D364" s="9">
        <v>1.2683747E7</v>
      </c>
      <c r="E364" s="10" t="str">
        <f>IF(C364&gt;percent,"YES","NO")</f>
        <v>NO</v>
      </c>
      <c r="F364" s="19">
        <v>40000.0</v>
      </c>
      <c r="G364" s="12" t="str">
        <f t="shared" si="2"/>
        <v>NOT FUNDED</v>
      </c>
      <c r="H364" s="20">
        <f t="shared" si="3"/>
        <v>1286190</v>
      </c>
      <c r="I364" s="14" t="str">
        <f t="shared" si="1"/>
        <v>Approval Threshold</v>
      </c>
    </row>
    <row r="365">
      <c r="A365" s="18" t="s">
        <v>1204</v>
      </c>
      <c r="B365" s="22">
        <v>114.0</v>
      </c>
      <c r="C365" s="9">
        <v>7681678.0</v>
      </c>
      <c r="D365" s="9">
        <v>8747349.0</v>
      </c>
      <c r="E365" s="10" t="str">
        <f>IF(C365&gt;percent,"YES","NO")</f>
        <v>NO</v>
      </c>
      <c r="F365" s="19">
        <v>55000.0</v>
      </c>
      <c r="G365" s="12" t="str">
        <f t="shared" si="2"/>
        <v>NOT FUNDED</v>
      </c>
      <c r="H365" s="20">
        <f t="shared" si="3"/>
        <v>1286190</v>
      </c>
      <c r="I365" s="14" t="str">
        <f t="shared" si="1"/>
        <v>Approval Threshold</v>
      </c>
    </row>
    <row r="366">
      <c r="A366" s="18" t="s">
        <v>1205</v>
      </c>
      <c r="B366" s="22">
        <v>90.0</v>
      </c>
      <c r="C366" s="9">
        <v>7679745.0</v>
      </c>
      <c r="D366" s="9">
        <v>6672400.0</v>
      </c>
      <c r="E366" s="10" t="str">
        <f>IF(C366&gt;percent,"YES","NO")</f>
        <v>NO</v>
      </c>
      <c r="F366" s="19">
        <v>45000.0</v>
      </c>
      <c r="G366" s="12" t="str">
        <f t="shared" si="2"/>
        <v>NOT FUNDED</v>
      </c>
      <c r="H366" s="20">
        <f t="shared" si="3"/>
        <v>1286190</v>
      </c>
      <c r="I366" s="14" t="str">
        <f t="shared" si="1"/>
        <v>Approval Threshold</v>
      </c>
    </row>
    <row r="367">
      <c r="A367" s="18" t="s">
        <v>1206</v>
      </c>
      <c r="B367" s="22">
        <v>94.0</v>
      </c>
      <c r="C367" s="9">
        <v>7664115.0</v>
      </c>
      <c r="D367" s="9">
        <v>3.152082E7</v>
      </c>
      <c r="E367" s="10" t="str">
        <f>IF(C367&gt;percent,"YES","NO")</f>
        <v>NO</v>
      </c>
      <c r="F367" s="19">
        <v>60000.0</v>
      </c>
      <c r="G367" s="12" t="str">
        <f t="shared" si="2"/>
        <v>NOT FUNDED</v>
      </c>
      <c r="H367" s="20">
        <f t="shared" si="3"/>
        <v>1286190</v>
      </c>
      <c r="I367" s="14" t="str">
        <f t="shared" si="1"/>
        <v>Approval Threshold</v>
      </c>
    </row>
    <row r="368">
      <c r="A368" s="18" t="s">
        <v>1207</v>
      </c>
      <c r="B368" s="22">
        <v>102.0</v>
      </c>
      <c r="C368" s="9">
        <v>7626647.0</v>
      </c>
      <c r="D368" s="9">
        <v>1.5234618E7</v>
      </c>
      <c r="E368" s="10" t="str">
        <f>IF(C368&gt;percent,"YES","NO")</f>
        <v>NO</v>
      </c>
      <c r="F368" s="19">
        <v>60000.0</v>
      </c>
      <c r="G368" s="12" t="str">
        <f t="shared" si="2"/>
        <v>NOT FUNDED</v>
      </c>
      <c r="H368" s="20">
        <f t="shared" si="3"/>
        <v>1286190</v>
      </c>
      <c r="I368" s="14" t="str">
        <f t="shared" si="1"/>
        <v>Approval Threshold</v>
      </c>
    </row>
    <row r="369">
      <c r="A369" s="18" t="s">
        <v>1208</v>
      </c>
      <c r="B369" s="22">
        <v>106.0</v>
      </c>
      <c r="C369" s="9">
        <v>7612198.0</v>
      </c>
      <c r="D369" s="9">
        <v>1.4427945E7</v>
      </c>
      <c r="E369" s="10" t="str">
        <f>IF(C369&gt;percent,"YES","NO")</f>
        <v>NO</v>
      </c>
      <c r="F369" s="19">
        <v>58000.0</v>
      </c>
      <c r="G369" s="12" t="str">
        <f t="shared" si="2"/>
        <v>NOT FUNDED</v>
      </c>
      <c r="H369" s="20">
        <f t="shared" si="3"/>
        <v>1286190</v>
      </c>
      <c r="I369" s="14" t="str">
        <f t="shared" si="1"/>
        <v>Approval Threshold</v>
      </c>
    </row>
    <row r="370">
      <c r="A370" s="18" t="s">
        <v>1209</v>
      </c>
      <c r="B370" s="22">
        <v>100.0</v>
      </c>
      <c r="C370" s="9">
        <v>7568105.0</v>
      </c>
      <c r="D370" s="9">
        <v>8392655.0</v>
      </c>
      <c r="E370" s="10" t="str">
        <f>IF(C370&gt;percent,"YES","NO")</f>
        <v>NO</v>
      </c>
      <c r="F370" s="19">
        <v>32500.0</v>
      </c>
      <c r="G370" s="12" t="str">
        <f t="shared" si="2"/>
        <v>NOT FUNDED</v>
      </c>
      <c r="H370" s="20">
        <f t="shared" si="3"/>
        <v>1286190</v>
      </c>
      <c r="I370" s="14" t="str">
        <f t="shared" si="1"/>
        <v>Approval Threshold</v>
      </c>
    </row>
    <row r="371">
      <c r="A371" s="18" t="s">
        <v>1210</v>
      </c>
      <c r="B371" s="22">
        <v>76.0</v>
      </c>
      <c r="C371" s="9">
        <v>7568033.0</v>
      </c>
      <c r="D371" s="9">
        <v>7392677.0</v>
      </c>
      <c r="E371" s="10" t="str">
        <f>IF(C371&gt;percent,"YES","NO")</f>
        <v>NO</v>
      </c>
      <c r="F371" s="19">
        <v>15100.0</v>
      </c>
      <c r="G371" s="12" t="str">
        <f t="shared" si="2"/>
        <v>NOT FUNDED</v>
      </c>
      <c r="H371" s="20">
        <f t="shared" si="3"/>
        <v>1286190</v>
      </c>
      <c r="I371" s="14" t="str">
        <f t="shared" si="1"/>
        <v>Approval Threshold</v>
      </c>
    </row>
    <row r="372">
      <c r="A372" s="18" t="s">
        <v>1211</v>
      </c>
      <c r="B372" s="22">
        <v>120.0</v>
      </c>
      <c r="C372" s="9">
        <v>7367406.0</v>
      </c>
      <c r="D372" s="9">
        <v>1.259915E7</v>
      </c>
      <c r="E372" s="10" t="str">
        <f>IF(C372&gt;percent,"YES","NO")</f>
        <v>NO</v>
      </c>
      <c r="F372" s="19">
        <v>35000.0</v>
      </c>
      <c r="G372" s="12" t="str">
        <f t="shared" si="2"/>
        <v>NOT FUNDED</v>
      </c>
      <c r="H372" s="20">
        <f t="shared" si="3"/>
        <v>1286190</v>
      </c>
      <c r="I372" s="14" t="str">
        <f t="shared" si="1"/>
        <v>Approval Threshold</v>
      </c>
    </row>
    <row r="373">
      <c r="A373" s="18" t="s">
        <v>1212</v>
      </c>
      <c r="B373" s="22">
        <v>103.0</v>
      </c>
      <c r="C373" s="9">
        <v>7210941.0</v>
      </c>
      <c r="D373" s="9">
        <v>9555497.0</v>
      </c>
      <c r="E373" s="10" t="str">
        <f>IF(C373&gt;percent,"YES","NO")</f>
        <v>NO</v>
      </c>
      <c r="F373" s="19">
        <v>50000.0</v>
      </c>
      <c r="G373" s="12" t="str">
        <f t="shared" si="2"/>
        <v>NOT FUNDED</v>
      </c>
      <c r="H373" s="20">
        <f t="shared" si="3"/>
        <v>1286190</v>
      </c>
      <c r="I373" s="14" t="str">
        <f t="shared" si="1"/>
        <v>Approval Threshold</v>
      </c>
    </row>
    <row r="374">
      <c r="A374" s="18" t="s">
        <v>1213</v>
      </c>
      <c r="B374" s="22">
        <v>142.0</v>
      </c>
      <c r="C374" s="9">
        <v>7195199.0</v>
      </c>
      <c r="D374" s="9">
        <v>8772232.0</v>
      </c>
      <c r="E374" s="10" t="str">
        <f>IF(C374&gt;percent,"YES","NO")</f>
        <v>NO</v>
      </c>
      <c r="F374" s="19">
        <v>50000.0</v>
      </c>
      <c r="G374" s="12" t="str">
        <f t="shared" si="2"/>
        <v>NOT FUNDED</v>
      </c>
      <c r="H374" s="20">
        <f t="shared" si="3"/>
        <v>1286190</v>
      </c>
      <c r="I374" s="14" t="str">
        <f t="shared" si="1"/>
        <v>Approval Threshold</v>
      </c>
    </row>
    <row r="375">
      <c r="A375" s="18" t="s">
        <v>1214</v>
      </c>
      <c r="B375" s="22">
        <v>110.0</v>
      </c>
      <c r="C375" s="9">
        <v>7193581.0</v>
      </c>
      <c r="D375" s="9">
        <v>1.4824329E7</v>
      </c>
      <c r="E375" s="10" t="str">
        <f>IF(C375&gt;percent,"YES","NO")</f>
        <v>NO</v>
      </c>
      <c r="F375" s="19">
        <v>46000.0</v>
      </c>
      <c r="G375" s="12" t="str">
        <f t="shared" si="2"/>
        <v>NOT FUNDED</v>
      </c>
      <c r="H375" s="20">
        <f t="shared" si="3"/>
        <v>1286190</v>
      </c>
      <c r="I375" s="14" t="str">
        <f t="shared" si="1"/>
        <v>Approval Threshold</v>
      </c>
    </row>
    <row r="376">
      <c r="A376" s="18" t="s">
        <v>1215</v>
      </c>
      <c r="B376" s="22">
        <v>107.0</v>
      </c>
      <c r="C376" s="9">
        <v>7179651.0</v>
      </c>
      <c r="D376" s="9">
        <v>1.295676E7</v>
      </c>
      <c r="E376" s="10" t="str">
        <f>IF(C376&gt;percent,"YES","NO")</f>
        <v>NO</v>
      </c>
      <c r="F376" s="19">
        <v>58000.0</v>
      </c>
      <c r="G376" s="12" t="str">
        <f t="shared" si="2"/>
        <v>NOT FUNDED</v>
      </c>
      <c r="H376" s="20">
        <f t="shared" si="3"/>
        <v>1286190</v>
      </c>
      <c r="I376" s="14" t="str">
        <f t="shared" si="1"/>
        <v>Approval Threshold</v>
      </c>
    </row>
    <row r="377">
      <c r="A377" s="18" t="s">
        <v>1216</v>
      </c>
      <c r="B377" s="22">
        <v>89.0</v>
      </c>
      <c r="C377" s="9">
        <v>7156926.0</v>
      </c>
      <c r="D377" s="9">
        <v>9831797.0</v>
      </c>
      <c r="E377" s="10" t="str">
        <f>IF(C377&gt;percent,"YES","NO")</f>
        <v>NO</v>
      </c>
      <c r="F377" s="19">
        <v>45000.0</v>
      </c>
      <c r="G377" s="12" t="str">
        <f t="shared" si="2"/>
        <v>NOT FUNDED</v>
      </c>
      <c r="H377" s="20">
        <f t="shared" si="3"/>
        <v>1286190</v>
      </c>
      <c r="I377" s="14" t="str">
        <f t="shared" si="1"/>
        <v>Approval Threshold</v>
      </c>
    </row>
    <row r="378">
      <c r="A378" s="18" t="s">
        <v>1217</v>
      </c>
      <c r="B378" s="22">
        <v>100.0</v>
      </c>
      <c r="C378" s="9">
        <v>7151417.0</v>
      </c>
      <c r="D378" s="9">
        <v>9110851.0</v>
      </c>
      <c r="E378" s="10" t="str">
        <f>IF(C378&gt;percent,"YES","NO")</f>
        <v>NO</v>
      </c>
      <c r="F378" s="19">
        <v>59000.0</v>
      </c>
      <c r="G378" s="12" t="str">
        <f t="shared" si="2"/>
        <v>NOT FUNDED</v>
      </c>
      <c r="H378" s="20">
        <f t="shared" si="3"/>
        <v>1286190</v>
      </c>
      <c r="I378" s="14" t="str">
        <f t="shared" si="1"/>
        <v>Approval Threshold</v>
      </c>
    </row>
    <row r="379">
      <c r="A379" s="18" t="s">
        <v>1218</v>
      </c>
      <c r="B379" s="22">
        <v>105.0</v>
      </c>
      <c r="C379" s="9">
        <v>7150401.0</v>
      </c>
      <c r="D379" s="9">
        <v>1.1079723E7</v>
      </c>
      <c r="E379" s="10" t="str">
        <f>IF(C379&gt;percent,"YES","NO")</f>
        <v>NO</v>
      </c>
      <c r="F379" s="19">
        <v>43370.0</v>
      </c>
      <c r="G379" s="12" t="str">
        <f t="shared" si="2"/>
        <v>NOT FUNDED</v>
      </c>
      <c r="H379" s="20">
        <f t="shared" si="3"/>
        <v>1286190</v>
      </c>
      <c r="I379" s="14" t="str">
        <f t="shared" si="1"/>
        <v>Approval Threshold</v>
      </c>
    </row>
    <row r="380">
      <c r="A380" s="18" t="s">
        <v>1219</v>
      </c>
      <c r="B380" s="22">
        <v>114.0</v>
      </c>
      <c r="C380" s="9">
        <v>7138303.0</v>
      </c>
      <c r="D380" s="9">
        <v>1.27762E7</v>
      </c>
      <c r="E380" s="10" t="str">
        <f>IF(C380&gt;percent,"YES","NO")</f>
        <v>NO</v>
      </c>
      <c r="F380" s="19">
        <v>45000.0</v>
      </c>
      <c r="G380" s="12" t="str">
        <f t="shared" si="2"/>
        <v>NOT FUNDED</v>
      </c>
      <c r="H380" s="20">
        <f t="shared" si="3"/>
        <v>1286190</v>
      </c>
      <c r="I380" s="14" t="str">
        <f t="shared" si="1"/>
        <v>Approval Threshold</v>
      </c>
    </row>
    <row r="381">
      <c r="A381" s="18" t="s">
        <v>1220</v>
      </c>
      <c r="B381" s="22">
        <v>105.0</v>
      </c>
      <c r="C381" s="9">
        <v>7129408.0</v>
      </c>
      <c r="D381" s="9">
        <v>1.1292995E7</v>
      </c>
      <c r="E381" s="10" t="str">
        <f>IF(C381&gt;percent,"YES","NO")</f>
        <v>NO</v>
      </c>
      <c r="F381" s="19">
        <v>30100.0</v>
      </c>
      <c r="G381" s="12" t="str">
        <f t="shared" si="2"/>
        <v>NOT FUNDED</v>
      </c>
      <c r="H381" s="20">
        <f t="shared" si="3"/>
        <v>1286190</v>
      </c>
      <c r="I381" s="14" t="str">
        <f t="shared" si="1"/>
        <v>Approval Threshold</v>
      </c>
    </row>
    <row r="382">
      <c r="A382" s="18" t="s">
        <v>1221</v>
      </c>
      <c r="B382" s="22">
        <v>111.0</v>
      </c>
      <c r="C382" s="9">
        <v>7109397.0</v>
      </c>
      <c r="D382" s="9">
        <v>1.7856356E7</v>
      </c>
      <c r="E382" s="10" t="str">
        <f>IF(C382&gt;percent,"YES","NO")</f>
        <v>NO</v>
      </c>
      <c r="F382" s="19">
        <v>60000.0</v>
      </c>
      <c r="G382" s="12" t="str">
        <f t="shared" si="2"/>
        <v>NOT FUNDED</v>
      </c>
      <c r="H382" s="20">
        <f t="shared" si="3"/>
        <v>1286190</v>
      </c>
      <c r="I382" s="14" t="str">
        <f t="shared" si="1"/>
        <v>Approval Threshold</v>
      </c>
    </row>
    <row r="383">
      <c r="A383" s="18" t="s">
        <v>1222</v>
      </c>
      <c r="B383" s="22">
        <v>109.0</v>
      </c>
      <c r="C383" s="9">
        <v>7108244.0</v>
      </c>
      <c r="D383" s="9">
        <v>1.5834218E7</v>
      </c>
      <c r="E383" s="10" t="str">
        <f>IF(C383&gt;percent,"YES","NO")</f>
        <v>NO</v>
      </c>
      <c r="F383" s="19">
        <v>20000.0</v>
      </c>
      <c r="G383" s="12" t="str">
        <f t="shared" si="2"/>
        <v>NOT FUNDED</v>
      </c>
      <c r="H383" s="20">
        <f t="shared" si="3"/>
        <v>1286190</v>
      </c>
      <c r="I383" s="14" t="str">
        <f t="shared" si="1"/>
        <v>Approval Threshold</v>
      </c>
    </row>
    <row r="384">
      <c r="A384" s="18" t="s">
        <v>1223</v>
      </c>
      <c r="B384" s="22">
        <v>91.0</v>
      </c>
      <c r="C384" s="9">
        <v>7040693.0</v>
      </c>
      <c r="D384" s="9">
        <v>2.2813956E7</v>
      </c>
      <c r="E384" s="10" t="str">
        <f>IF(C384&gt;percent,"YES","NO")</f>
        <v>NO</v>
      </c>
      <c r="F384" s="19">
        <v>40000.0</v>
      </c>
      <c r="G384" s="12" t="str">
        <f t="shared" si="2"/>
        <v>NOT FUNDED</v>
      </c>
      <c r="H384" s="20">
        <f t="shared" si="3"/>
        <v>1286190</v>
      </c>
      <c r="I384" s="14" t="str">
        <f t="shared" si="1"/>
        <v>Approval Threshold</v>
      </c>
    </row>
    <row r="385">
      <c r="A385" s="18" t="s">
        <v>1224</v>
      </c>
      <c r="B385" s="22">
        <v>94.0</v>
      </c>
      <c r="C385" s="9">
        <v>7023836.0</v>
      </c>
      <c r="D385" s="9">
        <v>9294265.0</v>
      </c>
      <c r="E385" s="10" t="str">
        <f>IF(C385&gt;percent,"YES","NO")</f>
        <v>NO</v>
      </c>
      <c r="F385" s="19">
        <v>58000.0</v>
      </c>
      <c r="G385" s="12" t="str">
        <f t="shared" si="2"/>
        <v>NOT FUNDED</v>
      </c>
      <c r="H385" s="20">
        <f t="shared" si="3"/>
        <v>1286190</v>
      </c>
      <c r="I385" s="14" t="str">
        <f t="shared" si="1"/>
        <v>Approval Threshold</v>
      </c>
    </row>
    <row r="386">
      <c r="A386" s="18" t="s">
        <v>1225</v>
      </c>
      <c r="B386" s="22">
        <v>99.0</v>
      </c>
      <c r="C386" s="9">
        <v>7021598.0</v>
      </c>
      <c r="D386" s="9">
        <v>1.2425279E7</v>
      </c>
      <c r="E386" s="10" t="str">
        <f>IF(C386&gt;percent,"YES","NO")</f>
        <v>NO</v>
      </c>
      <c r="F386" s="19">
        <v>27600.0</v>
      </c>
      <c r="G386" s="12" t="str">
        <f t="shared" si="2"/>
        <v>NOT FUNDED</v>
      </c>
      <c r="H386" s="20">
        <f t="shared" si="3"/>
        <v>1286190</v>
      </c>
      <c r="I386" s="14" t="str">
        <f t="shared" si="1"/>
        <v>Approval Threshold</v>
      </c>
    </row>
    <row r="387">
      <c r="A387" s="18" t="s">
        <v>1226</v>
      </c>
      <c r="B387" s="22">
        <v>102.0</v>
      </c>
      <c r="C387" s="9">
        <v>7019037.0</v>
      </c>
      <c r="D387" s="9">
        <v>1.3043612E7</v>
      </c>
      <c r="E387" s="10" t="str">
        <f>IF(C387&gt;percent,"YES","NO")</f>
        <v>NO</v>
      </c>
      <c r="F387" s="19">
        <v>20460.0</v>
      </c>
      <c r="G387" s="12" t="str">
        <f t="shared" si="2"/>
        <v>NOT FUNDED</v>
      </c>
      <c r="H387" s="20">
        <f t="shared" si="3"/>
        <v>1286190</v>
      </c>
      <c r="I387" s="14" t="str">
        <f t="shared" si="1"/>
        <v>Approval Threshold</v>
      </c>
    </row>
    <row r="388">
      <c r="A388" s="18" t="s">
        <v>1227</v>
      </c>
      <c r="B388" s="22">
        <v>98.0</v>
      </c>
      <c r="C388" s="9">
        <v>7008338.0</v>
      </c>
      <c r="D388" s="9">
        <v>1.4401514E7</v>
      </c>
      <c r="E388" s="10" t="str">
        <f>IF(C388&gt;percent,"YES","NO")</f>
        <v>NO</v>
      </c>
      <c r="F388" s="19">
        <v>50000.0</v>
      </c>
      <c r="G388" s="12" t="str">
        <f t="shared" si="2"/>
        <v>NOT FUNDED</v>
      </c>
      <c r="H388" s="20">
        <f t="shared" si="3"/>
        <v>1286190</v>
      </c>
      <c r="I388" s="14" t="str">
        <f t="shared" si="1"/>
        <v>Approval Threshold</v>
      </c>
    </row>
    <row r="389">
      <c r="A389" s="18" t="s">
        <v>1228</v>
      </c>
      <c r="B389" s="22">
        <v>104.0</v>
      </c>
      <c r="C389" s="9">
        <v>7001281.0</v>
      </c>
      <c r="D389" s="9">
        <v>1.039145E7</v>
      </c>
      <c r="E389" s="10" t="str">
        <f>IF(C389&gt;percent,"YES","NO")</f>
        <v>NO</v>
      </c>
      <c r="F389" s="19">
        <v>55000.0</v>
      </c>
      <c r="G389" s="12" t="str">
        <f t="shared" si="2"/>
        <v>NOT FUNDED</v>
      </c>
      <c r="H389" s="20">
        <f t="shared" si="3"/>
        <v>1286190</v>
      </c>
      <c r="I389" s="14" t="str">
        <f t="shared" si="1"/>
        <v>Approval Threshold</v>
      </c>
    </row>
    <row r="390">
      <c r="A390" s="18" t="s">
        <v>1229</v>
      </c>
      <c r="B390" s="22">
        <v>102.0</v>
      </c>
      <c r="C390" s="9">
        <v>6942814.0</v>
      </c>
      <c r="D390" s="9">
        <v>1.5338861E7</v>
      </c>
      <c r="E390" s="10" t="str">
        <f>IF(C390&gt;percent,"YES","NO")</f>
        <v>NO</v>
      </c>
      <c r="F390" s="19">
        <v>60000.0</v>
      </c>
      <c r="G390" s="12" t="str">
        <f t="shared" si="2"/>
        <v>NOT FUNDED</v>
      </c>
      <c r="H390" s="20">
        <f t="shared" si="3"/>
        <v>1286190</v>
      </c>
      <c r="I390" s="14" t="str">
        <f t="shared" si="1"/>
        <v>Approval Threshold</v>
      </c>
    </row>
    <row r="391">
      <c r="A391" s="18" t="s">
        <v>1230</v>
      </c>
      <c r="B391" s="22">
        <v>152.0</v>
      </c>
      <c r="C391" s="9">
        <v>6942480.0</v>
      </c>
      <c r="D391" s="9">
        <v>9645135.0</v>
      </c>
      <c r="E391" s="10" t="str">
        <f>IF(C391&gt;percent,"YES","NO")</f>
        <v>NO</v>
      </c>
      <c r="F391" s="19">
        <v>45000.0</v>
      </c>
      <c r="G391" s="12" t="str">
        <f t="shared" si="2"/>
        <v>NOT FUNDED</v>
      </c>
      <c r="H391" s="20">
        <f t="shared" si="3"/>
        <v>1286190</v>
      </c>
      <c r="I391" s="14" t="str">
        <f t="shared" si="1"/>
        <v>Approval Threshold</v>
      </c>
    </row>
    <row r="392">
      <c r="A392" s="18" t="s">
        <v>1231</v>
      </c>
      <c r="B392" s="22">
        <v>93.0</v>
      </c>
      <c r="C392" s="9">
        <v>6896843.0</v>
      </c>
      <c r="D392" s="9">
        <v>9947028.0</v>
      </c>
      <c r="E392" s="10" t="str">
        <f>IF(C392&gt;percent,"YES","NO")</f>
        <v>NO</v>
      </c>
      <c r="F392" s="19">
        <v>40000.0</v>
      </c>
      <c r="G392" s="12" t="str">
        <f t="shared" si="2"/>
        <v>NOT FUNDED</v>
      </c>
      <c r="H392" s="20">
        <f t="shared" si="3"/>
        <v>1286190</v>
      </c>
      <c r="I392" s="14" t="str">
        <f t="shared" si="1"/>
        <v>Approval Threshold</v>
      </c>
    </row>
    <row r="393">
      <c r="A393" s="18" t="s">
        <v>1232</v>
      </c>
      <c r="B393" s="22">
        <v>88.0</v>
      </c>
      <c r="C393" s="9">
        <v>6877924.0</v>
      </c>
      <c r="D393" s="9">
        <v>8578193.0</v>
      </c>
      <c r="E393" s="10" t="str">
        <f>IF(C393&gt;percent,"YES","NO")</f>
        <v>NO</v>
      </c>
      <c r="F393" s="19">
        <v>19500.0</v>
      </c>
      <c r="G393" s="12" t="str">
        <f t="shared" si="2"/>
        <v>NOT FUNDED</v>
      </c>
      <c r="H393" s="20">
        <f t="shared" si="3"/>
        <v>1286190</v>
      </c>
      <c r="I393" s="14" t="str">
        <f t="shared" si="1"/>
        <v>Approval Threshold</v>
      </c>
    </row>
    <row r="394">
      <c r="A394" s="18" t="s">
        <v>1233</v>
      </c>
      <c r="B394" s="22">
        <v>102.0</v>
      </c>
      <c r="C394" s="9">
        <v>6876454.0</v>
      </c>
      <c r="D394" s="9">
        <v>9287307.0</v>
      </c>
      <c r="E394" s="10" t="str">
        <f>IF(C394&gt;percent,"YES","NO")</f>
        <v>NO</v>
      </c>
      <c r="F394" s="19">
        <v>55000.0</v>
      </c>
      <c r="G394" s="12" t="str">
        <f t="shared" si="2"/>
        <v>NOT FUNDED</v>
      </c>
      <c r="H394" s="20">
        <f t="shared" si="3"/>
        <v>1286190</v>
      </c>
      <c r="I394" s="14" t="str">
        <f t="shared" si="1"/>
        <v>Approval Threshold</v>
      </c>
    </row>
    <row r="395">
      <c r="A395" s="18" t="s">
        <v>1234</v>
      </c>
      <c r="B395" s="22">
        <v>99.0</v>
      </c>
      <c r="C395" s="9">
        <v>6875178.0</v>
      </c>
      <c r="D395" s="9">
        <v>1.2944447E7</v>
      </c>
      <c r="E395" s="10" t="str">
        <f>IF(C395&gt;percent,"YES","NO")</f>
        <v>NO</v>
      </c>
      <c r="F395" s="19">
        <v>27000.0</v>
      </c>
      <c r="G395" s="12" t="str">
        <f t="shared" si="2"/>
        <v>NOT FUNDED</v>
      </c>
      <c r="H395" s="20">
        <f t="shared" si="3"/>
        <v>1286190</v>
      </c>
      <c r="I395" s="14" t="str">
        <f t="shared" si="1"/>
        <v>Approval Threshold</v>
      </c>
    </row>
    <row r="396">
      <c r="A396" s="18" t="s">
        <v>1235</v>
      </c>
      <c r="B396" s="22">
        <v>113.0</v>
      </c>
      <c r="C396" s="9">
        <v>6867439.0</v>
      </c>
      <c r="D396" s="9">
        <v>1.582721E7</v>
      </c>
      <c r="E396" s="10" t="str">
        <f>IF(C396&gt;percent,"YES","NO")</f>
        <v>NO</v>
      </c>
      <c r="F396" s="19">
        <v>60000.0</v>
      </c>
      <c r="G396" s="12" t="str">
        <f t="shared" si="2"/>
        <v>NOT FUNDED</v>
      </c>
      <c r="H396" s="20">
        <f t="shared" si="3"/>
        <v>1286190</v>
      </c>
      <c r="I396" s="14" t="str">
        <f t="shared" si="1"/>
        <v>Approval Threshold</v>
      </c>
    </row>
    <row r="397">
      <c r="A397" s="18" t="s">
        <v>1236</v>
      </c>
      <c r="B397" s="22">
        <v>93.0</v>
      </c>
      <c r="C397" s="9">
        <v>6849564.0</v>
      </c>
      <c r="D397" s="9">
        <v>8623297.0</v>
      </c>
      <c r="E397" s="10" t="str">
        <f>IF(C397&gt;percent,"YES","NO")</f>
        <v>NO</v>
      </c>
      <c r="F397" s="19">
        <v>25000.0</v>
      </c>
      <c r="G397" s="12" t="str">
        <f t="shared" si="2"/>
        <v>NOT FUNDED</v>
      </c>
      <c r="H397" s="20">
        <f t="shared" si="3"/>
        <v>1286190</v>
      </c>
      <c r="I397" s="14" t="str">
        <f t="shared" si="1"/>
        <v>Approval Threshold</v>
      </c>
    </row>
    <row r="398">
      <c r="A398" s="18" t="s">
        <v>1237</v>
      </c>
      <c r="B398" s="22">
        <v>91.0</v>
      </c>
      <c r="C398" s="9">
        <v>6838617.0</v>
      </c>
      <c r="D398" s="9">
        <v>7878298.0</v>
      </c>
      <c r="E398" s="10" t="str">
        <f>IF(C398&gt;percent,"YES","NO")</f>
        <v>NO</v>
      </c>
      <c r="F398" s="19">
        <v>50000.0</v>
      </c>
      <c r="G398" s="12" t="str">
        <f t="shared" si="2"/>
        <v>NOT FUNDED</v>
      </c>
      <c r="H398" s="20">
        <f t="shared" si="3"/>
        <v>1286190</v>
      </c>
      <c r="I398" s="14" t="str">
        <f t="shared" si="1"/>
        <v>Approval Threshold</v>
      </c>
    </row>
    <row r="399">
      <c r="A399" s="18" t="s">
        <v>1238</v>
      </c>
      <c r="B399" s="22">
        <v>104.0</v>
      </c>
      <c r="C399" s="9">
        <v>6835306.0</v>
      </c>
      <c r="D399" s="9">
        <v>1.1952117E7</v>
      </c>
      <c r="E399" s="10" t="str">
        <f>IF(C399&gt;percent,"YES","NO")</f>
        <v>NO</v>
      </c>
      <c r="F399" s="19">
        <v>32000.0</v>
      </c>
      <c r="G399" s="12" t="str">
        <f t="shared" si="2"/>
        <v>NOT FUNDED</v>
      </c>
      <c r="H399" s="20">
        <f t="shared" si="3"/>
        <v>1286190</v>
      </c>
      <c r="I399" s="14" t="str">
        <f t="shared" si="1"/>
        <v>Approval Threshold</v>
      </c>
    </row>
    <row r="400">
      <c r="A400" s="18" t="s">
        <v>1239</v>
      </c>
      <c r="B400" s="22">
        <v>105.0</v>
      </c>
      <c r="C400" s="9">
        <v>6724002.0</v>
      </c>
      <c r="D400" s="9">
        <v>1.2389806E7</v>
      </c>
      <c r="E400" s="10" t="str">
        <f>IF(C400&gt;percent,"YES","NO")</f>
        <v>NO</v>
      </c>
      <c r="F400" s="19">
        <v>28300.0</v>
      </c>
      <c r="G400" s="12" t="str">
        <f t="shared" si="2"/>
        <v>NOT FUNDED</v>
      </c>
      <c r="H400" s="20">
        <f t="shared" si="3"/>
        <v>1286190</v>
      </c>
      <c r="I400" s="14" t="str">
        <f t="shared" si="1"/>
        <v>Approval Threshold</v>
      </c>
    </row>
    <row r="401">
      <c r="A401" s="18" t="s">
        <v>1240</v>
      </c>
      <c r="B401" s="22">
        <v>110.0</v>
      </c>
      <c r="C401" s="9">
        <v>6641900.0</v>
      </c>
      <c r="D401" s="9">
        <v>1.9671514E7</v>
      </c>
      <c r="E401" s="10" t="str">
        <f>IF(C401&gt;percent,"YES","NO")</f>
        <v>NO</v>
      </c>
      <c r="F401" s="19">
        <v>60000.0</v>
      </c>
      <c r="G401" s="12" t="str">
        <f t="shared" si="2"/>
        <v>NOT FUNDED</v>
      </c>
      <c r="H401" s="20">
        <f t="shared" si="3"/>
        <v>1286190</v>
      </c>
      <c r="I401" s="14" t="str">
        <f t="shared" si="1"/>
        <v>Approval Threshold</v>
      </c>
    </row>
    <row r="402">
      <c r="A402" s="18" t="s">
        <v>1241</v>
      </c>
      <c r="B402" s="22">
        <v>86.0</v>
      </c>
      <c r="C402" s="9">
        <v>6637424.0</v>
      </c>
      <c r="D402" s="9">
        <v>8148549.0</v>
      </c>
      <c r="E402" s="10" t="str">
        <f>IF(C402&gt;percent,"YES","NO")</f>
        <v>NO</v>
      </c>
      <c r="F402" s="19">
        <v>55000.0</v>
      </c>
      <c r="G402" s="12" t="str">
        <f t="shared" si="2"/>
        <v>NOT FUNDED</v>
      </c>
      <c r="H402" s="20">
        <f t="shared" si="3"/>
        <v>1286190</v>
      </c>
      <c r="I402" s="14" t="str">
        <f t="shared" si="1"/>
        <v>Approval Threshold</v>
      </c>
    </row>
    <row r="403">
      <c r="A403" s="18" t="s">
        <v>1242</v>
      </c>
      <c r="B403" s="22">
        <v>108.0</v>
      </c>
      <c r="C403" s="9">
        <v>6612956.0</v>
      </c>
      <c r="D403" s="9">
        <v>2.8769196E7</v>
      </c>
      <c r="E403" s="10" t="str">
        <f>IF(C403&gt;percent,"YES","NO")</f>
        <v>NO</v>
      </c>
      <c r="F403" s="19">
        <v>30000.0</v>
      </c>
      <c r="G403" s="12" t="str">
        <f t="shared" si="2"/>
        <v>NOT FUNDED</v>
      </c>
      <c r="H403" s="20">
        <f t="shared" si="3"/>
        <v>1286190</v>
      </c>
      <c r="I403" s="14" t="str">
        <f t="shared" si="1"/>
        <v>Approval Threshold</v>
      </c>
    </row>
    <row r="404">
      <c r="A404" s="18" t="s">
        <v>1243</v>
      </c>
      <c r="B404" s="22">
        <v>89.0</v>
      </c>
      <c r="C404" s="9">
        <v>6597472.0</v>
      </c>
      <c r="D404" s="9">
        <v>9221489.0</v>
      </c>
      <c r="E404" s="10" t="str">
        <f>IF(C404&gt;percent,"YES","NO")</f>
        <v>NO</v>
      </c>
      <c r="F404" s="19">
        <v>39500.0</v>
      </c>
      <c r="G404" s="12" t="str">
        <f t="shared" si="2"/>
        <v>NOT FUNDED</v>
      </c>
      <c r="H404" s="20">
        <f t="shared" si="3"/>
        <v>1286190</v>
      </c>
      <c r="I404" s="14" t="str">
        <f t="shared" si="1"/>
        <v>Approval Threshold</v>
      </c>
    </row>
    <row r="405">
      <c r="A405" s="18" t="s">
        <v>1244</v>
      </c>
      <c r="B405" s="22">
        <v>116.0</v>
      </c>
      <c r="C405" s="9">
        <v>6581755.0</v>
      </c>
      <c r="D405" s="9">
        <v>1.8635217E7</v>
      </c>
      <c r="E405" s="10" t="str">
        <f>IF(C405&gt;percent,"YES","NO")</f>
        <v>NO</v>
      </c>
      <c r="F405" s="19">
        <v>54200.0</v>
      </c>
      <c r="G405" s="12" t="str">
        <f t="shared" si="2"/>
        <v>NOT FUNDED</v>
      </c>
      <c r="H405" s="20">
        <f t="shared" si="3"/>
        <v>1286190</v>
      </c>
      <c r="I405" s="14" t="str">
        <f t="shared" si="1"/>
        <v>Approval Threshold</v>
      </c>
    </row>
    <row r="406">
      <c r="A406" s="18" t="s">
        <v>1245</v>
      </c>
      <c r="B406" s="22">
        <v>122.0</v>
      </c>
      <c r="C406" s="9">
        <v>6482079.0</v>
      </c>
      <c r="D406" s="9">
        <v>1.3295671E7</v>
      </c>
      <c r="E406" s="10" t="str">
        <f>IF(C406&gt;percent,"YES","NO")</f>
        <v>NO</v>
      </c>
      <c r="F406" s="19">
        <v>60000.0</v>
      </c>
      <c r="G406" s="12" t="str">
        <f t="shared" si="2"/>
        <v>NOT FUNDED</v>
      </c>
      <c r="H406" s="20">
        <f t="shared" si="3"/>
        <v>1286190</v>
      </c>
      <c r="I406" s="14" t="str">
        <f t="shared" si="1"/>
        <v>Approval Threshold</v>
      </c>
    </row>
    <row r="407">
      <c r="A407" s="18" t="s">
        <v>1246</v>
      </c>
      <c r="B407" s="22">
        <v>93.0</v>
      </c>
      <c r="C407" s="9">
        <v>6456157.0</v>
      </c>
      <c r="D407" s="9">
        <v>1.0306531E7</v>
      </c>
      <c r="E407" s="10" t="str">
        <f>IF(C407&gt;percent,"YES","NO")</f>
        <v>NO</v>
      </c>
      <c r="F407" s="19">
        <v>58000.0</v>
      </c>
      <c r="G407" s="12" t="str">
        <f t="shared" si="2"/>
        <v>NOT FUNDED</v>
      </c>
      <c r="H407" s="20">
        <f t="shared" si="3"/>
        <v>1286190</v>
      </c>
      <c r="I407" s="14" t="str">
        <f t="shared" si="1"/>
        <v>Approval Threshold</v>
      </c>
    </row>
    <row r="408">
      <c r="A408" s="18" t="s">
        <v>1247</v>
      </c>
      <c r="B408" s="22">
        <v>95.0</v>
      </c>
      <c r="C408" s="9">
        <v>6441994.0</v>
      </c>
      <c r="D408" s="9">
        <v>1.7484399E7</v>
      </c>
      <c r="E408" s="10" t="str">
        <f>IF(C408&gt;percent,"YES","NO")</f>
        <v>NO</v>
      </c>
      <c r="F408" s="19">
        <v>60000.0</v>
      </c>
      <c r="G408" s="12" t="str">
        <f t="shared" si="2"/>
        <v>NOT FUNDED</v>
      </c>
      <c r="H408" s="20">
        <f t="shared" si="3"/>
        <v>1286190</v>
      </c>
      <c r="I408" s="14" t="str">
        <f t="shared" si="1"/>
        <v>Approval Threshold</v>
      </c>
    </row>
    <row r="409">
      <c r="A409" s="18" t="s">
        <v>1248</v>
      </c>
      <c r="B409" s="22">
        <v>107.0</v>
      </c>
      <c r="C409" s="9">
        <v>6427479.0</v>
      </c>
      <c r="D409" s="9">
        <v>1.1141834E7</v>
      </c>
      <c r="E409" s="10" t="str">
        <f>IF(C409&gt;percent,"YES","NO")</f>
        <v>NO</v>
      </c>
      <c r="F409" s="19">
        <v>26000.0</v>
      </c>
      <c r="G409" s="12" t="str">
        <f t="shared" si="2"/>
        <v>NOT FUNDED</v>
      </c>
      <c r="H409" s="20">
        <f t="shared" si="3"/>
        <v>1286190</v>
      </c>
      <c r="I409" s="14" t="str">
        <f t="shared" si="1"/>
        <v>Approval Threshold</v>
      </c>
    </row>
    <row r="410">
      <c r="A410" s="18" t="s">
        <v>1249</v>
      </c>
      <c r="B410" s="22">
        <v>103.0</v>
      </c>
      <c r="C410" s="9">
        <v>6336499.0</v>
      </c>
      <c r="D410" s="9">
        <v>1.378327E7</v>
      </c>
      <c r="E410" s="10" t="str">
        <f>IF(C410&gt;percent,"YES","NO")</f>
        <v>NO</v>
      </c>
      <c r="F410" s="19">
        <v>50000.0</v>
      </c>
      <c r="G410" s="12" t="str">
        <f t="shared" si="2"/>
        <v>NOT FUNDED</v>
      </c>
      <c r="H410" s="20">
        <f t="shared" si="3"/>
        <v>1286190</v>
      </c>
      <c r="I410" s="14" t="str">
        <f t="shared" si="1"/>
        <v>Approval Threshold</v>
      </c>
    </row>
    <row r="411">
      <c r="A411" s="18" t="s">
        <v>1250</v>
      </c>
      <c r="B411" s="22">
        <v>83.0</v>
      </c>
      <c r="C411" s="9">
        <v>6315883.0</v>
      </c>
      <c r="D411" s="9">
        <v>8693064.0</v>
      </c>
      <c r="E411" s="10" t="str">
        <f>IF(C411&gt;percent,"YES","NO")</f>
        <v>NO</v>
      </c>
      <c r="F411" s="19">
        <v>50000.0</v>
      </c>
      <c r="G411" s="12" t="str">
        <f t="shared" si="2"/>
        <v>NOT FUNDED</v>
      </c>
      <c r="H411" s="20">
        <f t="shared" si="3"/>
        <v>1286190</v>
      </c>
      <c r="I411" s="14" t="str">
        <f t="shared" si="1"/>
        <v>Approval Threshold</v>
      </c>
    </row>
    <row r="412">
      <c r="A412" s="18" t="s">
        <v>1251</v>
      </c>
      <c r="B412" s="22">
        <v>103.0</v>
      </c>
      <c r="C412" s="9">
        <v>6246705.0</v>
      </c>
      <c r="D412" s="9">
        <v>9105072.0</v>
      </c>
      <c r="E412" s="10" t="str">
        <f>IF(C412&gt;percent,"YES","NO")</f>
        <v>NO</v>
      </c>
      <c r="F412" s="19">
        <v>42000.0</v>
      </c>
      <c r="G412" s="12" t="str">
        <f t="shared" si="2"/>
        <v>NOT FUNDED</v>
      </c>
      <c r="H412" s="20">
        <f t="shared" si="3"/>
        <v>1286190</v>
      </c>
      <c r="I412" s="14" t="str">
        <f t="shared" si="1"/>
        <v>Approval Threshold</v>
      </c>
    </row>
    <row r="413">
      <c r="A413" s="18" t="s">
        <v>1252</v>
      </c>
      <c r="B413" s="22">
        <v>117.0</v>
      </c>
      <c r="C413" s="9">
        <v>6238951.0</v>
      </c>
      <c r="D413" s="9">
        <v>1.6118558E7</v>
      </c>
      <c r="E413" s="10" t="str">
        <f>IF(C413&gt;percent,"YES","NO")</f>
        <v>NO</v>
      </c>
      <c r="F413" s="19">
        <v>42069.0</v>
      </c>
      <c r="G413" s="12" t="str">
        <f t="shared" si="2"/>
        <v>NOT FUNDED</v>
      </c>
      <c r="H413" s="20">
        <f t="shared" si="3"/>
        <v>1286190</v>
      </c>
      <c r="I413" s="14" t="str">
        <f t="shared" si="1"/>
        <v>Approval Threshold</v>
      </c>
    </row>
    <row r="414">
      <c r="A414" s="18" t="s">
        <v>1253</v>
      </c>
      <c r="B414" s="22">
        <v>93.0</v>
      </c>
      <c r="C414" s="9">
        <v>6095608.0</v>
      </c>
      <c r="D414" s="9">
        <v>1.2725825E7</v>
      </c>
      <c r="E414" s="10" t="str">
        <f>IF(C414&gt;percent,"YES","NO")</f>
        <v>NO</v>
      </c>
      <c r="F414" s="19">
        <v>45000.0</v>
      </c>
      <c r="G414" s="12" t="str">
        <f t="shared" si="2"/>
        <v>NOT FUNDED</v>
      </c>
      <c r="H414" s="20">
        <f t="shared" si="3"/>
        <v>1286190</v>
      </c>
      <c r="I414" s="14" t="str">
        <f t="shared" si="1"/>
        <v>Approval Threshold</v>
      </c>
    </row>
    <row r="415">
      <c r="A415" s="18" t="s">
        <v>1254</v>
      </c>
      <c r="B415" s="22">
        <v>124.0</v>
      </c>
      <c r="C415" s="9">
        <v>6052958.0</v>
      </c>
      <c r="D415" s="9">
        <v>3.3106337E7</v>
      </c>
      <c r="E415" s="10" t="str">
        <f>IF(C415&gt;percent,"YES","NO")</f>
        <v>NO</v>
      </c>
      <c r="F415" s="19">
        <v>55000.0</v>
      </c>
      <c r="G415" s="12" t="str">
        <f t="shared" si="2"/>
        <v>NOT FUNDED</v>
      </c>
      <c r="H415" s="20">
        <f t="shared" si="3"/>
        <v>1286190</v>
      </c>
      <c r="I415" s="14" t="str">
        <f t="shared" si="1"/>
        <v>Approval Threshold</v>
      </c>
    </row>
    <row r="416">
      <c r="A416" s="18" t="s">
        <v>1255</v>
      </c>
      <c r="B416" s="22">
        <v>88.0</v>
      </c>
      <c r="C416" s="9">
        <v>6021289.0</v>
      </c>
      <c r="D416" s="9">
        <v>1.2914864E7</v>
      </c>
      <c r="E416" s="10" t="str">
        <f>IF(C416&gt;percent,"YES","NO")</f>
        <v>NO</v>
      </c>
      <c r="F416" s="19">
        <v>29000.0</v>
      </c>
      <c r="G416" s="12" t="str">
        <f t="shared" si="2"/>
        <v>NOT FUNDED</v>
      </c>
      <c r="H416" s="20">
        <f t="shared" si="3"/>
        <v>1286190</v>
      </c>
      <c r="I416" s="14" t="str">
        <f t="shared" si="1"/>
        <v>Approval Threshold</v>
      </c>
    </row>
    <row r="417">
      <c r="A417" s="18" t="s">
        <v>1256</v>
      </c>
      <c r="B417" s="22">
        <v>82.0</v>
      </c>
      <c r="C417" s="9">
        <v>6018498.0</v>
      </c>
      <c r="D417" s="9">
        <v>1.0286042E7</v>
      </c>
      <c r="E417" s="10" t="str">
        <f>IF(C417&gt;percent,"YES","NO")</f>
        <v>NO</v>
      </c>
      <c r="F417" s="19">
        <v>36000.0</v>
      </c>
      <c r="G417" s="12" t="str">
        <f t="shared" si="2"/>
        <v>NOT FUNDED</v>
      </c>
      <c r="H417" s="20">
        <f t="shared" si="3"/>
        <v>1286190</v>
      </c>
      <c r="I417" s="14" t="str">
        <f t="shared" si="1"/>
        <v>Approval Threshold</v>
      </c>
    </row>
    <row r="418">
      <c r="A418" s="18" t="s">
        <v>1257</v>
      </c>
      <c r="B418" s="22">
        <v>108.0</v>
      </c>
      <c r="C418" s="9">
        <v>6016611.0</v>
      </c>
      <c r="D418" s="9">
        <v>1.2628549E7</v>
      </c>
      <c r="E418" s="10" t="str">
        <f>IF(C418&gt;percent,"YES","NO")</f>
        <v>NO</v>
      </c>
      <c r="F418" s="19">
        <v>18000.0</v>
      </c>
      <c r="G418" s="12" t="str">
        <f t="shared" si="2"/>
        <v>NOT FUNDED</v>
      </c>
      <c r="H418" s="20">
        <f t="shared" si="3"/>
        <v>1286190</v>
      </c>
      <c r="I418" s="14" t="str">
        <f t="shared" si="1"/>
        <v>Approval Threshold</v>
      </c>
    </row>
    <row r="419">
      <c r="A419" s="18" t="s">
        <v>1258</v>
      </c>
      <c r="B419" s="22">
        <v>111.0</v>
      </c>
      <c r="C419" s="9">
        <v>5999804.0</v>
      </c>
      <c r="D419" s="9">
        <v>9329617.0</v>
      </c>
      <c r="E419" s="10" t="str">
        <f>IF(C419&gt;percent,"YES","NO")</f>
        <v>NO</v>
      </c>
      <c r="F419" s="19">
        <v>21000.0</v>
      </c>
      <c r="G419" s="12" t="str">
        <f t="shared" si="2"/>
        <v>NOT FUNDED</v>
      </c>
      <c r="H419" s="20">
        <f t="shared" si="3"/>
        <v>1286190</v>
      </c>
      <c r="I419" s="14" t="str">
        <f t="shared" si="1"/>
        <v>Approval Threshold</v>
      </c>
    </row>
    <row r="420">
      <c r="A420" s="18" t="s">
        <v>1259</v>
      </c>
      <c r="B420" s="22">
        <v>118.0</v>
      </c>
      <c r="C420" s="9">
        <v>5926089.0</v>
      </c>
      <c r="D420" s="9">
        <v>1.0050134E7</v>
      </c>
      <c r="E420" s="10" t="str">
        <f>IF(C420&gt;percent,"YES","NO")</f>
        <v>NO</v>
      </c>
      <c r="F420" s="19">
        <v>45278.0</v>
      </c>
      <c r="G420" s="12" t="str">
        <f t="shared" si="2"/>
        <v>NOT FUNDED</v>
      </c>
      <c r="H420" s="20">
        <f t="shared" si="3"/>
        <v>1286190</v>
      </c>
      <c r="I420" s="14" t="str">
        <f t="shared" si="1"/>
        <v>Approval Threshold</v>
      </c>
    </row>
    <row r="421">
      <c r="A421" s="18" t="s">
        <v>1260</v>
      </c>
      <c r="B421" s="22">
        <v>98.0</v>
      </c>
      <c r="C421" s="9">
        <v>5758463.0</v>
      </c>
      <c r="D421" s="9">
        <v>6027990.0</v>
      </c>
      <c r="E421" s="10" t="str">
        <f>IF(C421&gt;percent,"YES","NO")</f>
        <v>NO</v>
      </c>
      <c r="F421" s="19">
        <v>54000.0</v>
      </c>
      <c r="G421" s="12" t="str">
        <f t="shared" si="2"/>
        <v>NOT FUNDED</v>
      </c>
      <c r="H421" s="20">
        <f t="shared" si="3"/>
        <v>1286190</v>
      </c>
      <c r="I421" s="14" t="str">
        <f t="shared" si="1"/>
        <v>Approval Threshold</v>
      </c>
    </row>
    <row r="422">
      <c r="A422" s="18" t="s">
        <v>1261</v>
      </c>
      <c r="B422" s="22">
        <v>107.0</v>
      </c>
      <c r="C422" s="9">
        <v>5742197.0</v>
      </c>
      <c r="D422" s="9">
        <v>2.8470853E7</v>
      </c>
      <c r="E422" s="10" t="str">
        <f>IF(C422&gt;percent,"YES","NO")</f>
        <v>NO</v>
      </c>
      <c r="F422" s="19">
        <v>60000.0</v>
      </c>
      <c r="G422" s="12" t="str">
        <f t="shared" si="2"/>
        <v>NOT FUNDED</v>
      </c>
      <c r="H422" s="20">
        <f t="shared" si="3"/>
        <v>1286190</v>
      </c>
      <c r="I422" s="14" t="str">
        <f t="shared" si="1"/>
        <v>Approval Threshold</v>
      </c>
    </row>
    <row r="423">
      <c r="A423" s="18" t="s">
        <v>1262</v>
      </c>
      <c r="B423" s="22">
        <v>107.0</v>
      </c>
      <c r="C423" s="9">
        <v>5731549.0</v>
      </c>
      <c r="D423" s="9">
        <v>3.2565357E7</v>
      </c>
      <c r="E423" s="10" t="str">
        <f>IF(C423&gt;percent,"YES","NO")</f>
        <v>NO</v>
      </c>
      <c r="F423" s="19">
        <v>60000.0</v>
      </c>
      <c r="G423" s="12" t="str">
        <f t="shared" si="2"/>
        <v>NOT FUNDED</v>
      </c>
      <c r="H423" s="20">
        <f t="shared" si="3"/>
        <v>1286190</v>
      </c>
      <c r="I423" s="14" t="str">
        <f t="shared" si="1"/>
        <v>Approval Threshold</v>
      </c>
    </row>
    <row r="424">
      <c r="A424" s="18" t="s">
        <v>1263</v>
      </c>
      <c r="B424" s="22">
        <v>139.0</v>
      </c>
      <c r="C424" s="9">
        <v>5642424.0</v>
      </c>
      <c r="D424" s="9">
        <v>1.3605419E7</v>
      </c>
      <c r="E424" s="10" t="str">
        <f>IF(C424&gt;percent,"YES","NO")</f>
        <v>NO</v>
      </c>
      <c r="F424" s="19">
        <v>48027.0</v>
      </c>
      <c r="G424" s="12" t="str">
        <f t="shared" si="2"/>
        <v>NOT FUNDED</v>
      </c>
      <c r="H424" s="20">
        <f t="shared" si="3"/>
        <v>1286190</v>
      </c>
      <c r="I424" s="14" t="str">
        <f t="shared" si="1"/>
        <v>Approval Threshold</v>
      </c>
    </row>
    <row r="425">
      <c r="A425" s="18" t="s">
        <v>1264</v>
      </c>
      <c r="B425" s="22">
        <v>89.0</v>
      </c>
      <c r="C425" s="9">
        <v>5621690.0</v>
      </c>
      <c r="D425" s="9">
        <v>6657930.0</v>
      </c>
      <c r="E425" s="10" t="str">
        <f>IF(C425&gt;percent,"YES","NO")</f>
        <v>NO</v>
      </c>
      <c r="F425" s="19">
        <v>55000.0</v>
      </c>
      <c r="G425" s="12" t="str">
        <f t="shared" si="2"/>
        <v>NOT FUNDED</v>
      </c>
      <c r="H425" s="20">
        <f t="shared" si="3"/>
        <v>1286190</v>
      </c>
      <c r="I425" s="14" t="str">
        <f t="shared" si="1"/>
        <v>Approval Threshold</v>
      </c>
    </row>
    <row r="426">
      <c r="A426" s="18" t="s">
        <v>1265</v>
      </c>
      <c r="B426" s="22">
        <v>102.0</v>
      </c>
      <c r="C426" s="9">
        <v>5518662.0</v>
      </c>
      <c r="D426" s="9">
        <v>1.2680319E7</v>
      </c>
      <c r="E426" s="10" t="str">
        <f>IF(C426&gt;percent,"YES","NO")</f>
        <v>NO</v>
      </c>
      <c r="F426" s="19">
        <v>58000.0</v>
      </c>
      <c r="G426" s="12" t="str">
        <f t="shared" si="2"/>
        <v>NOT FUNDED</v>
      </c>
      <c r="H426" s="20">
        <f t="shared" si="3"/>
        <v>1286190</v>
      </c>
      <c r="I426" s="14" t="str">
        <f t="shared" si="1"/>
        <v>Approval Threshold</v>
      </c>
    </row>
    <row r="427">
      <c r="A427" s="18" t="s">
        <v>1266</v>
      </c>
      <c r="B427" s="22">
        <v>96.0</v>
      </c>
      <c r="C427" s="9">
        <v>5455136.0</v>
      </c>
      <c r="D427" s="9">
        <v>1.2369294E7</v>
      </c>
      <c r="E427" s="10" t="str">
        <f>IF(C427&gt;percent,"YES","NO")</f>
        <v>NO</v>
      </c>
      <c r="F427" s="19">
        <v>55000.0</v>
      </c>
      <c r="G427" s="12" t="str">
        <f t="shared" si="2"/>
        <v>NOT FUNDED</v>
      </c>
      <c r="H427" s="20">
        <f t="shared" si="3"/>
        <v>1286190</v>
      </c>
      <c r="I427" s="14" t="str">
        <f t="shared" si="1"/>
        <v>Approval Threshold</v>
      </c>
    </row>
    <row r="428">
      <c r="A428" s="18" t="s">
        <v>1267</v>
      </c>
      <c r="B428" s="22">
        <v>118.0</v>
      </c>
      <c r="C428" s="9">
        <v>5438527.0</v>
      </c>
      <c r="D428" s="9">
        <v>1.1384183E7</v>
      </c>
      <c r="E428" s="10" t="str">
        <f>IF(C428&gt;percent,"YES","NO")</f>
        <v>NO</v>
      </c>
      <c r="F428" s="19">
        <v>38000.0</v>
      </c>
      <c r="G428" s="12" t="str">
        <f t="shared" si="2"/>
        <v>NOT FUNDED</v>
      </c>
      <c r="H428" s="20">
        <f t="shared" si="3"/>
        <v>1286190</v>
      </c>
      <c r="I428" s="14" t="str">
        <f t="shared" si="1"/>
        <v>Approval Threshold</v>
      </c>
    </row>
    <row r="429">
      <c r="A429" s="18" t="s">
        <v>1268</v>
      </c>
      <c r="B429" s="22">
        <v>121.0</v>
      </c>
      <c r="C429" s="9">
        <v>5326959.0</v>
      </c>
      <c r="D429" s="9">
        <v>1.1676197E7</v>
      </c>
      <c r="E429" s="10" t="str">
        <f>IF(C429&gt;percent,"YES","NO")</f>
        <v>NO</v>
      </c>
      <c r="F429" s="19">
        <v>42000.0</v>
      </c>
      <c r="G429" s="12" t="str">
        <f t="shared" si="2"/>
        <v>NOT FUNDED</v>
      </c>
      <c r="H429" s="20">
        <f t="shared" si="3"/>
        <v>1286190</v>
      </c>
      <c r="I429" s="14" t="str">
        <f t="shared" si="1"/>
        <v>Approval Threshold</v>
      </c>
    </row>
    <row r="430">
      <c r="A430" s="18" t="s">
        <v>1269</v>
      </c>
      <c r="B430" s="22">
        <v>104.0</v>
      </c>
      <c r="C430" s="9">
        <v>5276008.0</v>
      </c>
      <c r="D430" s="9">
        <v>1.4406679E7</v>
      </c>
      <c r="E430" s="10" t="str">
        <f>IF(C430&gt;percent,"YES","NO")</f>
        <v>NO</v>
      </c>
      <c r="F430" s="19">
        <v>60000.0</v>
      </c>
      <c r="G430" s="12" t="str">
        <f t="shared" si="2"/>
        <v>NOT FUNDED</v>
      </c>
      <c r="H430" s="20">
        <f t="shared" si="3"/>
        <v>1286190</v>
      </c>
      <c r="I430" s="14" t="str">
        <f t="shared" si="1"/>
        <v>Approval Threshold</v>
      </c>
    </row>
    <row r="431">
      <c r="A431" s="18" t="s">
        <v>1270</v>
      </c>
      <c r="B431" s="22">
        <v>89.0</v>
      </c>
      <c r="C431" s="9">
        <v>5184280.0</v>
      </c>
      <c r="D431" s="9">
        <v>8017629.0</v>
      </c>
      <c r="E431" s="10" t="str">
        <f>IF(C431&gt;percent,"YES","NO")</f>
        <v>NO</v>
      </c>
      <c r="F431" s="19">
        <v>16000.0</v>
      </c>
      <c r="G431" s="12" t="str">
        <f t="shared" si="2"/>
        <v>NOT FUNDED</v>
      </c>
      <c r="H431" s="20">
        <f t="shared" si="3"/>
        <v>1286190</v>
      </c>
      <c r="I431" s="14" t="str">
        <f t="shared" si="1"/>
        <v>Approval Threshold</v>
      </c>
    </row>
    <row r="432">
      <c r="A432" s="18" t="s">
        <v>1271</v>
      </c>
      <c r="B432" s="22">
        <v>106.0</v>
      </c>
      <c r="C432" s="9">
        <v>5056625.0</v>
      </c>
      <c r="D432" s="9">
        <v>1.3278945E7</v>
      </c>
      <c r="E432" s="10" t="str">
        <f>IF(C432&gt;percent,"YES","NO")</f>
        <v>NO</v>
      </c>
      <c r="F432" s="19">
        <v>57500.0</v>
      </c>
      <c r="G432" s="12" t="str">
        <f t="shared" si="2"/>
        <v>NOT FUNDED</v>
      </c>
      <c r="H432" s="20">
        <f t="shared" si="3"/>
        <v>1286190</v>
      </c>
      <c r="I432" s="14" t="str">
        <f t="shared" si="1"/>
        <v>Approval Threshold</v>
      </c>
    </row>
    <row r="433">
      <c r="A433" s="18" t="s">
        <v>1272</v>
      </c>
      <c r="B433" s="22">
        <v>97.0</v>
      </c>
      <c r="C433" s="9">
        <v>5051663.0</v>
      </c>
      <c r="D433" s="9">
        <v>1.5168874E7</v>
      </c>
      <c r="E433" s="10" t="str">
        <f>IF(C433&gt;percent,"YES","NO")</f>
        <v>NO</v>
      </c>
      <c r="F433" s="19">
        <v>57700.0</v>
      </c>
      <c r="G433" s="12" t="str">
        <f t="shared" si="2"/>
        <v>NOT FUNDED</v>
      </c>
      <c r="H433" s="20">
        <f t="shared" si="3"/>
        <v>1286190</v>
      </c>
      <c r="I433" s="14" t="str">
        <f t="shared" si="1"/>
        <v>Approval Threshold</v>
      </c>
    </row>
    <row r="434">
      <c r="A434" s="18" t="s">
        <v>1273</v>
      </c>
      <c r="B434" s="22">
        <v>85.0</v>
      </c>
      <c r="C434" s="9">
        <v>4962506.0</v>
      </c>
      <c r="D434" s="9">
        <v>8025429.0</v>
      </c>
      <c r="E434" s="10" t="str">
        <f>IF(C434&gt;percent,"YES","NO")</f>
        <v>NO</v>
      </c>
      <c r="F434" s="19">
        <v>55000.0</v>
      </c>
      <c r="G434" s="12" t="str">
        <f t="shared" si="2"/>
        <v>NOT FUNDED</v>
      </c>
      <c r="H434" s="20">
        <f t="shared" si="3"/>
        <v>1286190</v>
      </c>
      <c r="I434" s="14" t="str">
        <f t="shared" si="1"/>
        <v>Approval Threshold</v>
      </c>
    </row>
    <row r="435">
      <c r="A435" s="18" t="s">
        <v>1274</v>
      </c>
      <c r="B435" s="22">
        <v>133.0</v>
      </c>
      <c r="C435" s="9">
        <v>4809940.0</v>
      </c>
      <c r="D435" s="9">
        <v>1.540844E7</v>
      </c>
      <c r="E435" s="10" t="str">
        <f>IF(C435&gt;percent,"YES","NO")</f>
        <v>NO</v>
      </c>
      <c r="F435" s="19">
        <v>44100.0</v>
      </c>
      <c r="G435" s="12" t="str">
        <f t="shared" si="2"/>
        <v>NOT FUNDED</v>
      </c>
      <c r="H435" s="20">
        <f t="shared" si="3"/>
        <v>1286190</v>
      </c>
      <c r="I435" s="14" t="str">
        <f t="shared" si="1"/>
        <v>Approval Threshold</v>
      </c>
    </row>
    <row r="436">
      <c r="A436" s="18" t="s">
        <v>1275</v>
      </c>
      <c r="B436" s="22">
        <v>97.0</v>
      </c>
      <c r="C436" s="9">
        <v>4793553.0</v>
      </c>
      <c r="D436" s="9">
        <v>9295801.0</v>
      </c>
      <c r="E436" s="10" t="str">
        <f>IF(C436&gt;percent,"YES","NO")</f>
        <v>NO</v>
      </c>
      <c r="F436" s="19">
        <v>27860.0</v>
      </c>
      <c r="G436" s="12" t="str">
        <f t="shared" si="2"/>
        <v>NOT FUNDED</v>
      </c>
      <c r="H436" s="20">
        <f t="shared" si="3"/>
        <v>1286190</v>
      </c>
      <c r="I436" s="14" t="str">
        <f t="shared" si="1"/>
        <v>Approval Threshold</v>
      </c>
    </row>
    <row r="437">
      <c r="A437" s="18" t="s">
        <v>1276</v>
      </c>
      <c r="B437" s="22">
        <v>91.0</v>
      </c>
      <c r="C437" s="9">
        <v>4659567.0</v>
      </c>
      <c r="D437" s="9">
        <v>1.0581279E7</v>
      </c>
      <c r="E437" s="10" t="str">
        <f>IF(C437&gt;percent,"YES","NO")</f>
        <v>NO</v>
      </c>
      <c r="F437" s="19">
        <v>55000.0</v>
      </c>
      <c r="G437" s="12" t="str">
        <f t="shared" si="2"/>
        <v>NOT FUNDED</v>
      </c>
      <c r="H437" s="20">
        <f t="shared" si="3"/>
        <v>1286190</v>
      </c>
      <c r="I437" s="14" t="str">
        <f t="shared" si="1"/>
        <v>Approval Threshold</v>
      </c>
    </row>
    <row r="438">
      <c r="A438" s="18" t="s">
        <v>1277</v>
      </c>
      <c r="B438" s="22">
        <v>98.0</v>
      </c>
      <c r="C438" s="9">
        <v>4652526.0</v>
      </c>
      <c r="D438" s="9">
        <v>1.0754036E7</v>
      </c>
      <c r="E438" s="10" t="str">
        <f>IF(C438&gt;percent,"YES","NO")</f>
        <v>NO</v>
      </c>
      <c r="F438" s="19">
        <v>46200.0</v>
      </c>
      <c r="G438" s="12" t="str">
        <f t="shared" si="2"/>
        <v>NOT FUNDED</v>
      </c>
      <c r="H438" s="20">
        <f t="shared" si="3"/>
        <v>1286190</v>
      </c>
      <c r="I438" s="14" t="str">
        <f t="shared" si="1"/>
        <v>Approval Threshold</v>
      </c>
    </row>
    <row r="439">
      <c r="A439" s="18" t="s">
        <v>1278</v>
      </c>
      <c r="B439" s="22">
        <v>98.0</v>
      </c>
      <c r="C439" s="9">
        <v>4602079.0</v>
      </c>
      <c r="D439" s="9">
        <v>1.0378567E7</v>
      </c>
      <c r="E439" s="10" t="str">
        <f>IF(C439&gt;percent,"YES","NO")</f>
        <v>NO</v>
      </c>
      <c r="F439" s="19">
        <v>59213.0</v>
      </c>
      <c r="G439" s="12" t="str">
        <f t="shared" si="2"/>
        <v>NOT FUNDED</v>
      </c>
      <c r="H439" s="20">
        <f t="shared" si="3"/>
        <v>1286190</v>
      </c>
      <c r="I439" s="14" t="str">
        <f t="shared" si="1"/>
        <v>Approval Threshold</v>
      </c>
    </row>
    <row r="440">
      <c r="A440" s="18" t="s">
        <v>1279</v>
      </c>
      <c r="B440" s="22">
        <v>99.0</v>
      </c>
      <c r="C440" s="9">
        <v>4593972.0</v>
      </c>
      <c r="D440" s="9">
        <v>1.2967137E7</v>
      </c>
      <c r="E440" s="10" t="str">
        <f>IF(C440&gt;percent,"YES","NO")</f>
        <v>NO</v>
      </c>
      <c r="F440" s="19">
        <v>20000.0</v>
      </c>
      <c r="G440" s="12" t="str">
        <f t="shared" si="2"/>
        <v>NOT FUNDED</v>
      </c>
      <c r="H440" s="20">
        <f t="shared" si="3"/>
        <v>1286190</v>
      </c>
      <c r="I440" s="14" t="str">
        <f t="shared" si="1"/>
        <v>Approval Threshold</v>
      </c>
    </row>
    <row r="441">
      <c r="A441" s="18" t="s">
        <v>1280</v>
      </c>
      <c r="B441" s="22">
        <v>131.0</v>
      </c>
      <c r="C441" s="9">
        <v>4342323.0</v>
      </c>
      <c r="D441" s="9">
        <v>1.3454505E7</v>
      </c>
      <c r="E441" s="10" t="str">
        <f>IF(C441&gt;percent,"YES","NO")</f>
        <v>NO</v>
      </c>
      <c r="F441" s="19">
        <v>50000.0</v>
      </c>
      <c r="G441" s="12" t="str">
        <f t="shared" si="2"/>
        <v>NOT FUNDED</v>
      </c>
      <c r="H441" s="20">
        <f t="shared" si="3"/>
        <v>1286190</v>
      </c>
      <c r="I441" s="14" t="str">
        <f t="shared" si="1"/>
        <v>Approval Threshold</v>
      </c>
    </row>
    <row r="442">
      <c r="A442" s="18" t="s">
        <v>1281</v>
      </c>
      <c r="B442" s="22">
        <v>111.0</v>
      </c>
      <c r="C442" s="9">
        <v>4159433.0</v>
      </c>
      <c r="D442" s="9">
        <v>1.1478136E7</v>
      </c>
      <c r="E442" s="10" t="str">
        <f>IF(C442&gt;percent,"YES","NO")</f>
        <v>NO</v>
      </c>
      <c r="F442" s="19">
        <v>50000.0</v>
      </c>
      <c r="G442" s="12" t="str">
        <f t="shared" si="2"/>
        <v>NOT FUNDED</v>
      </c>
      <c r="H442" s="20">
        <f t="shared" si="3"/>
        <v>1286190</v>
      </c>
      <c r="I442" s="14" t="str">
        <f t="shared" si="1"/>
        <v>Approval Threshold</v>
      </c>
    </row>
    <row r="443">
      <c r="A443" s="18" t="s">
        <v>1282</v>
      </c>
      <c r="B443" s="22">
        <v>95.0</v>
      </c>
      <c r="C443" s="9">
        <v>4141597.0</v>
      </c>
      <c r="D443" s="9">
        <v>1.3402178E7</v>
      </c>
      <c r="E443" s="10" t="str">
        <f>IF(C443&gt;percent,"YES","NO")</f>
        <v>NO</v>
      </c>
      <c r="F443" s="19">
        <v>48000.0</v>
      </c>
      <c r="G443" s="12" t="str">
        <f t="shared" si="2"/>
        <v>NOT FUNDED</v>
      </c>
      <c r="H443" s="20">
        <f t="shared" si="3"/>
        <v>1286190</v>
      </c>
      <c r="I443" s="14" t="str">
        <f t="shared" si="1"/>
        <v>Approval Threshold</v>
      </c>
    </row>
    <row r="444">
      <c r="A444" s="18" t="s">
        <v>1283</v>
      </c>
      <c r="B444" s="22">
        <v>106.0</v>
      </c>
      <c r="C444" s="9">
        <v>4045979.0</v>
      </c>
      <c r="D444" s="9">
        <v>1.1002542E7</v>
      </c>
      <c r="E444" s="10" t="str">
        <f>IF(C444&gt;percent,"YES","NO")</f>
        <v>NO</v>
      </c>
      <c r="F444" s="19">
        <v>36792.0</v>
      </c>
      <c r="G444" s="12" t="str">
        <f t="shared" si="2"/>
        <v>NOT FUNDED</v>
      </c>
      <c r="H444" s="20">
        <f t="shared" si="3"/>
        <v>1286190</v>
      </c>
      <c r="I444" s="14" t="str">
        <f t="shared" si="1"/>
        <v>Approval Threshold</v>
      </c>
    </row>
    <row r="445">
      <c r="A445" s="18" t="s">
        <v>1284</v>
      </c>
      <c r="B445" s="22">
        <v>99.0</v>
      </c>
      <c r="C445" s="9">
        <v>4009488.0</v>
      </c>
      <c r="D445" s="9">
        <v>1.4548316E7</v>
      </c>
      <c r="E445" s="10" t="str">
        <f>IF(C445&gt;percent,"YES","NO")</f>
        <v>NO</v>
      </c>
      <c r="F445" s="19">
        <v>60000.0</v>
      </c>
      <c r="G445" s="12" t="str">
        <f t="shared" si="2"/>
        <v>NOT FUNDED</v>
      </c>
      <c r="H445" s="20">
        <f t="shared" si="3"/>
        <v>1286190</v>
      </c>
      <c r="I445" s="14" t="str">
        <f t="shared" si="1"/>
        <v>Approval Threshold</v>
      </c>
    </row>
    <row r="446">
      <c r="A446" s="18" t="s">
        <v>1285</v>
      </c>
      <c r="B446" s="22">
        <v>90.0</v>
      </c>
      <c r="C446" s="9">
        <v>3965077.0</v>
      </c>
      <c r="D446" s="9">
        <v>1.2850479E7</v>
      </c>
      <c r="E446" s="10" t="str">
        <f>IF(C446&gt;percent,"YES","NO")</f>
        <v>NO</v>
      </c>
      <c r="F446" s="19">
        <v>45000.0</v>
      </c>
      <c r="G446" s="12" t="str">
        <f t="shared" si="2"/>
        <v>NOT FUNDED</v>
      </c>
      <c r="H446" s="20">
        <f t="shared" si="3"/>
        <v>1286190</v>
      </c>
      <c r="I446" s="14" t="str">
        <f t="shared" si="1"/>
        <v>Approval Threshold</v>
      </c>
    </row>
    <row r="447">
      <c r="A447" s="18" t="s">
        <v>1286</v>
      </c>
      <c r="B447" s="22">
        <v>91.0</v>
      </c>
      <c r="C447" s="9">
        <v>3934044.0</v>
      </c>
      <c r="D447" s="9">
        <v>1.5830836E7</v>
      </c>
      <c r="E447" s="10" t="str">
        <f>IF(C447&gt;percent,"YES","NO")</f>
        <v>NO</v>
      </c>
      <c r="F447" s="19">
        <v>46000.0</v>
      </c>
      <c r="G447" s="12" t="str">
        <f t="shared" si="2"/>
        <v>NOT FUNDED</v>
      </c>
      <c r="H447" s="20">
        <f t="shared" si="3"/>
        <v>1286190</v>
      </c>
      <c r="I447" s="14" t="str">
        <f t="shared" si="1"/>
        <v>Approval Threshold</v>
      </c>
    </row>
    <row r="448">
      <c r="A448" s="18" t="s">
        <v>1287</v>
      </c>
      <c r="B448" s="22">
        <v>103.0</v>
      </c>
      <c r="C448" s="9">
        <v>3670585.0</v>
      </c>
      <c r="D448" s="9">
        <v>2.0860345E7</v>
      </c>
      <c r="E448" s="10" t="str">
        <f>IF(C448&gt;percent,"YES","NO")</f>
        <v>NO</v>
      </c>
      <c r="F448" s="19">
        <v>60000.0</v>
      </c>
      <c r="G448" s="12" t="str">
        <f t="shared" si="2"/>
        <v>NOT FUNDED</v>
      </c>
      <c r="H448" s="20">
        <f t="shared" si="3"/>
        <v>1286190</v>
      </c>
      <c r="I448" s="14" t="str">
        <f t="shared" si="1"/>
        <v>Approval Threshold</v>
      </c>
    </row>
    <row r="449">
      <c r="A449" s="18" t="s">
        <v>1288</v>
      </c>
      <c r="B449" s="22">
        <v>91.0</v>
      </c>
      <c r="C449" s="9">
        <v>3635730.0</v>
      </c>
      <c r="D449" s="9">
        <v>1.2864958E7</v>
      </c>
      <c r="E449" s="10" t="str">
        <f>IF(C449&gt;percent,"YES","NO")</f>
        <v>NO</v>
      </c>
      <c r="F449" s="19">
        <v>60000.0</v>
      </c>
      <c r="G449" s="12" t="str">
        <f t="shared" si="2"/>
        <v>NOT FUNDED</v>
      </c>
      <c r="H449" s="20">
        <f t="shared" si="3"/>
        <v>1286190</v>
      </c>
      <c r="I449" s="14" t="str">
        <f t="shared" si="1"/>
        <v>Approval Threshold</v>
      </c>
    </row>
    <row r="450">
      <c r="A450" s="18" t="s">
        <v>1289</v>
      </c>
      <c r="B450" s="22">
        <v>105.0</v>
      </c>
      <c r="C450" s="9">
        <v>3625419.0</v>
      </c>
      <c r="D450" s="9">
        <v>2.0499334E7</v>
      </c>
      <c r="E450" s="10" t="str">
        <f>IF(C450&gt;percent,"YES","NO")</f>
        <v>NO</v>
      </c>
      <c r="F450" s="19">
        <v>60000.0</v>
      </c>
      <c r="G450" s="12" t="str">
        <f t="shared" si="2"/>
        <v>NOT FUNDED</v>
      </c>
      <c r="H450" s="20">
        <f t="shared" si="3"/>
        <v>1286190</v>
      </c>
      <c r="I450" s="14" t="str">
        <f t="shared" si="1"/>
        <v>Approval Threshold</v>
      </c>
    </row>
    <row r="451">
      <c r="A451" s="18" t="s">
        <v>1290</v>
      </c>
      <c r="B451" s="22">
        <v>85.0</v>
      </c>
      <c r="C451" s="9">
        <v>3016201.0</v>
      </c>
      <c r="D451" s="9">
        <v>1.0123459E7</v>
      </c>
      <c r="E451" s="10" t="str">
        <f>IF(C451&gt;percent,"YES","NO")</f>
        <v>NO</v>
      </c>
      <c r="F451" s="19">
        <v>50000.0</v>
      </c>
      <c r="G451" s="12" t="str">
        <f t="shared" si="2"/>
        <v>NOT FUNDED</v>
      </c>
      <c r="H451" s="20">
        <f t="shared" si="3"/>
        <v>1286190</v>
      </c>
      <c r="I451" s="14" t="str">
        <f t="shared" si="1"/>
        <v>Approval Threshold</v>
      </c>
    </row>
  </sheetData>
  <autoFilter ref="$A$1:$F$451">
    <sortState ref="A1:F451">
      <sortCondition descending="1" ref="C1:C451"/>
    </sortState>
  </autoFilter>
  <conditionalFormatting sqref="G2:G451">
    <cfRule type="cellIs" dxfId="0" priority="1" operator="equal">
      <formula>"FUNDED"</formula>
    </cfRule>
  </conditionalFormatting>
  <conditionalFormatting sqref="G2:G451">
    <cfRule type="cellIs" dxfId="1" priority="2" operator="equal">
      <formula>"NOT FUNDED"</formula>
    </cfRule>
  </conditionalFormatting>
  <conditionalFormatting sqref="I2:I451">
    <cfRule type="cellIs" dxfId="0" priority="3" operator="greaterThan">
      <formula>999</formula>
    </cfRule>
  </conditionalFormatting>
  <conditionalFormatting sqref="I2:I451">
    <cfRule type="cellIs" dxfId="0" priority="4" operator="greaterThan">
      <formula>999</formula>
    </cfRule>
  </conditionalFormatting>
  <conditionalFormatting sqref="I2:I451">
    <cfRule type="containsText" dxfId="1" priority="5" operator="containsText" text="NOT FUNDED">
      <formula>NOT(ISERROR(SEARCH(("NOT FUNDED"),(I2))))</formula>
    </cfRule>
  </conditionalFormatting>
  <conditionalFormatting sqref="I2:I451">
    <cfRule type="cellIs" dxfId="2" priority="6" operator="equal">
      <formula>"Over Budget"</formula>
    </cfRule>
  </conditionalFormatting>
  <conditionalFormatting sqref="I2:I451">
    <cfRule type="cellIs" dxfId="1" priority="7" operator="equal">
      <formula>"Approval Threshold"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</hyperlinks>
  <drawing r:id="rId45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3" width="31.88"/>
    <col customWidth="1" min="4" max="4" width="14.0"/>
    <col customWidth="1" min="5" max="6" width="17.88"/>
    <col customWidth="1" min="7" max="7" width="11.88"/>
    <col customWidth="1" min="8" max="8" width="15.63"/>
    <col customWidth="1" min="9" max="9" width="12.25"/>
    <col customWidth="1" min="10" max="10" width="13.25"/>
    <col customWidth="1" min="11" max="11" width="26.88"/>
  </cols>
  <sheetData>
    <row r="1">
      <c r="A1" s="5" t="s">
        <v>1291</v>
      </c>
      <c r="B1" s="5" t="s">
        <v>1292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5" t="s">
        <v>6</v>
      </c>
      <c r="J1" s="17" t="s">
        <v>7</v>
      </c>
      <c r="K1" s="6" t="s">
        <v>8</v>
      </c>
    </row>
    <row r="2">
      <c r="A2" s="7" t="b">
        <v>0</v>
      </c>
      <c r="B2" s="7" t="s">
        <v>1293</v>
      </c>
      <c r="C2" s="18" t="s">
        <v>1294</v>
      </c>
      <c r="D2" s="22">
        <v>351.0</v>
      </c>
      <c r="E2" s="9">
        <v>1.19347438E8</v>
      </c>
      <c r="F2" s="9">
        <v>2.8933782E7</v>
      </c>
      <c r="G2" s="10" t="str">
        <f>IF(E2&gt;percent,"YES","NO")</f>
        <v>YES</v>
      </c>
      <c r="H2" s="19">
        <v>260000.0</v>
      </c>
      <c r="I2" s="12" t="str">
        <f>If(leftover&gt;=H2,IF(G2="Yes","FUNDED","NOT FUNDED"),"NOT FUNDED")</f>
        <v>FUNDED</v>
      </c>
      <c r="J2" s="20">
        <f>If(leftover&gt;=H2,leftover-H2,leftover)</f>
        <v>1779420</v>
      </c>
      <c r="K2" s="14" t="str">
        <f t="shared" ref="K2:K79" si="1">If(G2="YES",IF(I2="FUNDED","","Over Budget"),"Approval Threshold")</f>
        <v/>
      </c>
    </row>
    <row r="3">
      <c r="A3" s="7" t="b">
        <v>0</v>
      </c>
      <c r="B3" s="7" t="s">
        <v>1293</v>
      </c>
      <c r="C3" s="18" t="s">
        <v>1295</v>
      </c>
      <c r="D3" s="22">
        <v>390.0</v>
      </c>
      <c r="E3" s="9">
        <v>1.17276301E8</v>
      </c>
      <c r="F3" s="9">
        <v>3.9534431E7</v>
      </c>
      <c r="G3" s="10" t="str">
        <f>IF(E3&gt;percent,"YES","NO")</f>
        <v>YES</v>
      </c>
      <c r="H3" s="19">
        <v>600000.0</v>
      </c>
      <c r="I3" s="12" t="str">
        <f t="shared" ref="I3:I79" si="2">If(J2&gt;=H3,IF(G3="Yes","FUNDED","NOT FUNDED"),"NOT FUNDED")</f>
        <v>FUNDED</v>
      </c>
      <c r="J3" s="20">
        <f t="shared" ref="J3:J79" si="3">If(I3="FUNDED",IF(J2&gt;=H3,(J2-H3),J2),J2)</f>
        <v>1179420</v>
      </c>
      <c r="K3" s="14" t="str">
        <f t="shared" si="1"/>
        <v/>
      </c>
    </row>
    <row r="4">
      <c r="A4" s="7" t="b">
        <v>0</v>
      </c>
      <c r="B4" s="7" t="s">
        <v>1293</v>
      </c>
      <c r="C4" s="18" t="s">
        <v>1296</v>
      </c>
      <c r="D4" s="22">
        <v>373.0</v>
      </c>
      <c r="E4" s="9">
        <v>1.16128252E8</v>
      </c>
      <c r="F4" s="9">
        <v>2.5762674E7</v>
      </c>
      <c r="G4" s="10" t="str">
        <f>IF(E4&gt;percent,"YES","NO")</f>
        <v>YES</v>
      </c>
      <c r="H4" s="19">
        <v>300000.0</v>
      </c>
      <c r="I4" s="12" t="str">
        <f t="shared" si="2"/>
        <v>FUNDED</v>
      </c>
      <c r="J4" s="20">
        <f t="shared" si="3"/>
        <v>879420</v>
      </c>
      <c r="K4" s="14" t="str">
        <f t="shared" si="1"/>
        <v/>
      </c>
    </row>
    <row r="5">
      <c r="A5" s="7" t="b">
        <v>0</v>
      </c>
      <c r="B5" s="7" t="s">
        <v>1293</v>
      </c>
      <c r="C5" s="18" t="s">
        <v>1297</v>
      </c>
      <c r="D5" s="22">
        <v>249.0</v>
      </c>
      <c r="E5" s="9">
        <v>1.16107515E8</v>
      </c>
      <c r="F5" s="9">
        <v>2.9131421E7</v>
      </c>
      <c r="G5" s="10" t="str">
        <f>IF(E5&gt;percent,"YES","NO")</f>
        <v>YES</v>
      </c>
      <c r="H5" s="19">
        <v>406666.0</v>
      </c>
      <c r="I5" s="12" t="str">
        <f t="shared" si="2"/>
        <v>FUNDED</v>
      </c>
      <c r="J5" s="20">
        <f t="shared" si="3"/>
        <v>472754</v>
      </c>
      <c r="K5" s="14" t="str">
        <f t="shared" si="1"/>
        <v/>
      </c>
    </row>
    <row r="6">
      <c r="A6" s="7" t="b">
        <v>0</v>
      </c>
      <c r="B6" s="7" t="s">
        <v>1293</v>
      </c>
      <c r="C6" s="18" t="s">
        <v>1298</v>
      </c>
      <c r="D6" s="22">
        <v>301.0</v>
      </c>
      <c r="E6" s="9">
        <v>9.734219E7</v>
      </c>
      <c r="F6" s="9">
        <v>2.9270331E7</v>
      </c>
      <c r="G6" s="10" t="str">
        <f>IF(E6&gt;percent,"YES","NO")</f>
        <v>YES</v>
      </c>
      <c r="H6" s="19">
        <v>506000.0</v>
      </c>
      <c r="I6" s="12" t="str">
        <f t="shared" si="2"/>
        <v>NOT FUNDED</v>
      </c>
      <c r="J6" s="20">
        <f t="shared" si="3"/>
        <v>472754</v>
      </c>
      <c r="K6" s="14" t="str">
        <f t="shared" si="1"/>
        <v>Over Budget</v>
      </c>
    </row>
    <row r="7">
      <c r="A7" s="7" t="b">
        <v>0</v>
      </c>
      <c r="B7" s="7" t="s">
        <v>1293</v>
      </c>
      <c r="C7" s="21" t="s">
        <v>1299</v>
      </c>
      <c r="D7" s="22">
        <v>376.0</v>
      </c>
      <c r="E7" s="9">
        <v>9.2517979E7</v>
      </c>
      <c r="F7" s="9">
        <v>3.3100666E7</v>
      </c>
      <c r="G7" s="10" t="str">
        <f>IF(E7&gt;percent,"YES","NO")</f>
        <v>YES</v>
      </c>
      <c r="H7" s="19">
        <v>825000.0</v>
      </c>
      <c r="I7" s="12" t="str">
        <f t="shared" si="2"/>
        <v>NOT FUNDED</v>
      </c>
      <c r="J7" s="20">
        <f t="shared" si="3"/>
        <v>472754</v>
      </c>
      <c r="K7" s="14" t="str">
        <f t="shared" si="1"/>
        <v>Over Budget</v>
      </c>
    </row>
    <row r="8">
      <c r="A8" s="7" t="b">
        <v>0</v>
      </c>
      <c r="B8" s="7" t="s">
        <v>1293</v>
      </c>
      <c r="C8" s="18" t="s">
        <v>1300</v>
      </c>
      <c r="D8" s="22">
        <v>268.0</v>
      </c>
      <c r="E8" s="9">
        <v>8.9581556E7</v>
      </c>
      <c r="F8" s="9">
        <v>3.7821665E7</v>
      </c>
      <c r="G8" s="10" t="str">
        <f>IF(E8&gt;percent,"YES","NO")</f>
        <v>YES</v>
      </c>
      <c r="H8" s="19">
        <v>750000.0</v>
      </c>
      <c r="I8" s="12" t="str">
        <f t="shared" si="2"/>
        <v>NOT FUNDED</v>
      </c>
      <c r="J8" s="20">
        <f t="shared" si="3"/>
        <v>472754</v>
      </c>
      <c r="K8" s="14" t="str">
        <f t="shared" si="1"/>
        <v>Over Budget</v>
      </c>
    </row>
    <row r="9">
      <c r="A9" s="7" t="b">
        <v>0</v>
      </c>
      <c r="B9" s="23" t="s">
        <v>1301</v>
      </c>
      <c r="C9" s="18" t="s">
        <v>1302</v>
      </c>
      <c r="D9" s="16">
        <v>193.0</v>
      </c>
      <c r="E9" s="24">
        <v>8.3408493E7</v>
      </c>
      <c r="F9" s="24">
        <v>8886713.0</v>
      </c>
      <c r="G9" s="10" t="str">
        <f>IF(E9&gt;percent,"YES","NO")</f>
        <v>YES</v>
      </c>
      <c r="H9" s="25">
        <v>100000.0</v>
      </c>
      <c r="I9" s="12" t="str">
        <f t="shared" si="2"/>
        <v>FUNDED</v>
      </c>
      <c r="J9" s="20">
        <f t="shared" si="3"/>
        <v>372754</v>
      </c>
      <c r="K9" s="14" t="str">
        <f t="shared" si="1"/>
        <v/>
      </c>
    </row>
    <row r="10">
      <c r="A10" s="7" t="b">
        <v>0</v>
      </c>
      <c r="B10" s="7" t="s">
        <v>1293</v>
      </c>
      <c r="C10" s="18" t="s">
        <v>1303</v>
      </c>
      <c r="D10" s="22">
        <v>246.0</v>
      </c>
      <c r="E10" s="9">
        <v>8.2798817E7</v>
      </c>
      <c r="F10" s="9">
        <v>2.9546381E7</v>
      </c>
      <c r="G10" s="10" t="str">
        <f>IF(E10&gt;percent,"YES","NO")</f>
        <v>YES</v>
      </c>
      <c r="H10" s="19">
        <v>380000.0</v>
      </c>
      <c r="I10" s="12" t="str">
        <f t="shared" si="2"/>
        <v>NOT FUNDED</v>
      </c>
      <c r="J10" s="20">
        <f t="shared" si="3"/>
        <v>372754</v>
      </c>
      <c r="K10" s="14" t="str">
        <f t="shared" si="1"/>
        <v>Over Budget</v>
      </c>
    </row>
    <row r="11">
      <c r="A11" s="7" t="b">
        <v>0</v>
      </c>
      <c r="B11" s="23" t="s">
        <v>1301</v>
      </c>
      <c r="C11" s="18" t="s">
        <v>1304</v>
      </c>
      <c r="D11" s="16">
        <v>185.0</v>
      </c>
      <c r="E11" s="24">
        <v>8.1372056E7</v>
      </c>
      <c r="F11" s="24">
        <v>8945995.0</v>
      </c>
      <c r="G11" s="10" t="str">
        <f>IF(E11&gt;percent,"YES","NO")</f>
        <v>YES</v>
      </c>
      <c r="H11" s="25">
        <v>98000.0</v>
      </c>
      <c r="I11" s="12" t="str">
        <f t="shared" si="2"/>
        <v>FUNDED</v>
      </c>
      <c r="J11" s="20">
        <f t="shared" si="3"/>
        <v>274754</v>
      </c>
      <c r="K11" s="14" t="str">
        <f t="shared" si="1"/>
        <v/>
      </c>
    </row>
    <row r="12">
      <c r="A12" s="7" t="b">
        <v>0</v>
      </c>
      <c r="B12" s="23" t="s">
        <v>1301</v>
      </c>
      <c r="C12" s="21" t="s">
        <v>1305</v>
      </c>
      <c r="D12" s="16">
        <v>269.0</v>
      </c>
      <c r="E12" s="24">
        <v>7.9670134E7</v>
      </c>
      <c r="F12" s="24">
        <v>7102105.0</v>
      </c>
      <c r="G12" s="10" t="str">
        <f>IF(E12&gt;percent,"YES","NO")</f>
        <v>YES</v>
      </c>
      <c r="H12" s="25">
        <v>81000.0</v>
      </c>
      <c r="I12" s="12" t="str">
        <f t="shared" si="2"/>
        <v>FUNDED</v>
      </c>
      <c r="J12" s="20">
        <f t="shared" si="3"/>
        <v>193754</v>
      </c>
      <c r="K12" s="14" t="str">
        <f t="shared" si="1"/>
        <v/>
      </c>
    </row>
    <row r="13">
      <c r="A13" s="7" t="b">
        <v>0</v>
      </c>
      <c r="B13" s="23" t="s">
        <v>1301</v>
      </c>
      <c r="C13" s="18" t="s">
        <v>1306</v>
      </c>
      <c r="D13" s="16">
        <v>191.0</v>
      </c>
      <c r="E13" s="24">
        <v>7.7872186E7</v>
      </c>
      <c r="F13" s="24">
        <v>9393323.0</v>
      </c>
      <c r="G13" s="10" t="str">
        <f>IF(E13&gt;percent,"YES","NO")</f>
        <v>YES</v>
      </c>
      <c r="H13" s="25">
        <v>85000.0</v>
      </c>
      <c r="I13" s="12" t="str">
        <f t="shared" si="2"/>
        <v>FUNDED</v>
      </c>
      <c r="J13" s="20">
        <f t="shared" si="3"/>
        <v>108754</v>
      </c>
      <c r="K13" s="14" t="str">
        <f t="shared" si="1"/>
        <v/>
      </c>
    </row>
    <row r="14">
      <c r="A14" s="7" t="b">
        <v>0</v>
      </c>
      <c r="B14" s="23" t="s">
        <v>1301</v>
      </c>
      <c r="C14" s="18" t="s">
        <v>1307</v>
      </c>
      <c r="D14" s="16">
        <v>200.0</v>
      </c>
      <c r="E14" s="24">
        <v>7.5937849E7</v>
      </c>
      <c r="F14" s="24">
        <v>1.0881675E7</v>
      </c>
      <c r="G14" s="10" t="str">
        <f>IF(E14&gt;percent,"YES","NO")</f>
        <v>YES</v>
      </c>
      <c r="H14" s="25">
        <v>100000.0</v>
      </c>
      <c r="I14" s="12" t="str">
        <f t="shared" si="2"/>
        <v>FUNDED</v>
      </c>
      <c r="J14" s="20">
        <f t="shared" si="3"/>
        <v>8754</v>
      </c>
      <c r="K14" s="14" t="str">
        <f t="shared" si="1"/>
        <v/>
      </c>
    </row>
    <row r="15">
      <c r="A15" s="7" t="b">
        <v>0</v>
      </c>
      <c r="B15" s="23" t="s">
        <v>1301</v>
      </c>
      <c r="C15" s="18" t="s">
        <v>1308</v>
      </c>
      <c r="D15" s="16">
        <v>146.0</v>
      </c>
      <c r="E15" s="24">
        <v>7.3409823E7</v>
      </c>
      <c r="F15" s="24">
        <v>1.3435373E7</v>
      </c>
      <c r="G15" s="10" t="str">
        <f>IF(E15&gt;percent,"YES","NO")</f>
        <v>YES</v>
      </c>
      <c r="H15" s="25">
        <v>100000.0</v>
      </c>
      <c r="I15" s="12" t="str">
        <f t="shared" si="2"/>
        <v>NOT FUNDED</v>
      </c>
      <c r="J15" s="20">
        <f t="shared" si="3"/>
        <v>8754</v>
      </c>
      <c r="K15" s="14" t="str">
        <f t="shared" si="1"/>
        <v>Over Budget</v>
      </c>
    </row>
    <row r="16">
      <c r="A16" s="7" t="b">
        <v>0</v>
      </c>
      <c r="B16" s="7" t="s">
        <v>1293</v>
      </c>
      <c r="C16" s="18" t="s">
        <v>1309</v>
      </c>
      <c r="D16" s="22">
        <v>315.0</v>
      </c>
      <c r="E16" s="9">
        <v>7.2496419E7</v>
      </c>
      <c r="F16" s="9">
        <v>2.7331322E7</v>
      </c>
      <c r="G16" s="10" t="str">
        <f>IF(E16&gt;percent,"YES","NO")</f>
        <v>YES</v>
      </c>
      <c r="H16" s="19">
        <v>750000.0</v>
      </c>
      <c r="I16" s="12" t="str">
        <f t="shared" si="2"/>
        <v>NOT FUNDED</v>
      </c>
      <c r="J16" s="20">
        <f t="shared" si="3"/>
        <v>8754</v>
      </c>
      <c r="K16" s="14" t="str">
        <f t="shared" si="1"/>
        <v>Over Budget</v>
      </c>
    </row>
    <row r="17">
      <c r="A17" s="7" t="b">
        <v>0</v>
      </c>
      <c r="B17" s="7" t="s">
        <v>1293</v>
      </c>
      <c r="C17" s="18" t="s">
        <v>1310</v>
      </c>
      <c r="D17" s="22">
        <v>239.0</v>
      </c>
      <c r="E17" s="9">
        <v>7.2279672E7</v>
      </c>
      <c r="F17" s="9">
        <v>2.6434952E7</v>
      </c>
      <c r="G17" s="10" t="str">
        <f>IF(E17&gt;percent,"YES","NO")</f>
        <v>YES</v>
      </c>
      <c r="H17" s="19">
        <v>415529.0</v>
      </c>
      <c r="I17" s="12" t="str">
        <f t="shared" si="2"/>
        <v>NOT FUNDED</v>
      </c>
      <c r="J17" s="20">
        <f t="shared" si="3"/>
        <v>8754</v>
      </c>
      <c r="K17" s="14" t="str">
        <f t="shared" si="1"/>
        <v>Over Budget</v>
      </c>
    </row>
    <row r="18">
      <c r="A18" s="7" t="b">
        <v>0</v>
      </c>
      <c r="B18" s="7" t="s">
        <v>1293</v>
      </c>
      <c r="C18" s="18" t="s">
        <v>1311</v>
      </c>
      <c r="D18" s="22">
        <v>266.0</v>
      </c>
      <c r="E18" s="9">
        <v>7.2273869E7</v>
      </c>
      <c r="F18" s="9">
        <v>2.7904641E7</v>
      </c>
      <c r="G18" s="10" t="str">
        <f>IF(E18&gt;percent,"YES","NO")</f>
        <v>YES</v>
      </c>
      <c r="H18" s="19">
        <v>499000.0</v>
      </c>
      <c r="I18" s="12" t="str">
        <f t="shared" si="2"/>
        <v>NOT FUNDED</v>
      </c>
      <c r="J18" s="20">
        <f t="shared" si="3"/>
        <v>8754</v>
      </c>
      <c r="K18" s="14" t="str">
        <f t="shared" si="1"/>
        <v>Over Budget</v>
      </c>
    </row>
    <row r="19">
      <c r="A19" s="7" t="b">
        <v>0</v>
      </c>
      <c r="B19" s="7" t="s">
        <v>1293</v>
      </c>
      <c r="C19" s="18" t="s">
        <v>1312</v>
      </c>
      <c r="D19" s="22">
        <v>252.0</v>
      </c>
      <c r="E19" s="9">
        <v>7.1390258E7</v>
      </c>
      <c r="F19" s="9">
        <v>3.1922629E7</v>
      </c>
      <c r="G19" s="10" t="str">
        <f>IF(E19&gt;percent,"YES","NO")</f>
        <v>YES</v>
      </c>
      <c r="H19" s="19">
        <v>252000.0</v>
      </c>
      <c r="I19" s="12" t="str">
        <f t="shared" si="2"/>
        <v>NOT FUNDED</v>
      </c>
      <c r="J19" s="20">
        <f t="shared" si="3"/>
        <v>8754</v>
      </c>
      <c r="K19" s="14" t="str">
        <f t="shared" si="1"/>
        <v>Over Budget</v>
      </c>
    </row>
    <row r="20">
      <c r="A20" s="7" t="b">
        <v>0</v>
      </c>
      <c r="B20" s="23" t="s">
        <v>1301</v>
      </c>
      <c r="C20" s="18" t="s">
        <v>1313</v>
      </c>
      <c r="D20" s="16">
        <v>159.0</v>
      </c>
      <c r="E20" s="24">
        <v>7.0050567E7</v>
      </c>
      <c r="F20" s="24">
        <v>8643994.0</v>
      </c>
      <c r="G20" s="10" t="str">
        <f>IF(E20&gt;percent,"YES","NO")</f>
        <v>YES</v>
      </c>
      <c r="H20" s="25">
        <v>79000.0</v>
      </c>
      <c r="I20" s="12" t="str">
        <f t="shared" si="2"/>
        <v>NOT FUNDED</v>
      </c>
      <c r="J20" s="20">
        <f t="shared" si="3"/>
        <v>8754</v>
      </c>
      <c r="K20" s="14" t="str">
        <f t="shared" si="1"/>
        <v>Over Budget</v>
      </c>
    </row>
    <row r="21">
      <c r="A21" s="7" t="b">
        <v>0</v>
      </c>
      <c r="B21" s="7" t="s">
        <v>1293</v>
      </c>
      <c r="C21" s="18" t="s">
        <v>1314</v>
      </c>
      <c r="D21" s="22">
        <v>312.0</v>
      </c>
      <c r="E21" s="9">
        <v>6.9955131E7</v>
      </c>
      <c r="F21" s="9">
        <v>2.5852652E7</v>
      </c>
      <c r="G21" s="10" t="str">
        <f>IF(E21&gt;percent,"YES","NO")</f>
        <v>YES</v>
      </c>
      <c r="H21" s="19">
        <v>250000.0</v>
      </c>
      <c r="I21" s="12" t="str">
        <f t="shared" si="2"/>
        <v>NOT FUNDED</v>
      </c>
      <c r="J21" s="20">
        <f t="shared" si="3"/>
        <v>8754</v>
      </c>
      <c r="K21" s="14" t="str">
        <f t="shared" si="1"/>
        <v>Over Budget</v>
      </c>
    </row>
    <row r="22">
      <c r="A22" s="7" t="b">
        <v>0</v>
      </c>
      <c r="B22" s="23" t="s">
        <v>1301</v>
      </c>
      <c r="C22" s="18" t="s">
        <v>1315</v>
      </c>
      <c r="D22" s="16">
        <v>147.0</v>
      </c>
      <c r="E22" s="24">
        <v>6.9528599E7</v>
      </c>
      <c r="F22" s="24">
        <v>4934254.0</v>
      </c>
      <c r="G22" s="10" t="str">
        <f>IF(E22&gt;percent,"YES","NO")</f>
        <v>YES</v>
      </c>
      <c r="H22" s="25">
        <v>60000.0</v>
      </c>
      <c r="I22" s="12" t="str">
        <f t="shared" si="2"/>
        <v>NOT FUNDED</v>
      </c>
      <c r="J22" s="20">
        <f t="shared" si="3"/>
        <v>8754</v>
      </c>
      <c r="K22" s="14" t="str">
        <f t="shared" si="1"/>
        <v>Over Budget</v>
      </c>
    </row>
    <row r="23">
      <c r="A23" s="7" t="b">
        <v>0</v>
      </c>
      <c r="B23" s="7" t="s">
        <v>1293</v>
      </c>
      <c r="C23" s="18" t="s">
        <v>1316</v>
      </c>
      <c r="D23" s="22">
        <v>284.0</v>
      </c>
      <c r="E23" s="9">
        <v>6.9364838E7</v>
      </c>
      <c r="F23" s="9">
        <v>2.4807793E7</v>
      </c>
      <c r="G23" s="10" t="str">
        <f>IF(E23&gt;percent,"YES","NO")</f>
        <v>YES</v>
      </c>
      <c r="H23" s="19">
        <v>250000.0</v>
      </c>
      <c r="I23" s="12" t="str">
        <f t="shared" si="2"/>
        <v>NOT FUNDED</v>
      </c>
      <c r="J23" s="20">
        <f t="shared" si="3"/>
        <v>8754</v>
      </c>
      <c r="K23" s="14" t="str">
        <f t="shared" si="1"/>
        <v>Over Budget</v>
      </c>
    </row>
    <row r="24">
      <c r="A24" s="7" t="b">
        <v>0</v>
      </c>
      <c r="B24" s="23" t="s">
        <v>1301</v>
      </c>
      <c r="C24" s="18" t="s">
        <v>1317</v>
      </c>
      <c r="D24" s="16">
        <v>155.0</v>
      </c>
      <c r="E24" s="24">
        <v>6.8843538E7</v>
      </c>
      <c r="F24" s="24">
        <v>9237507.0</v>
      </c>
      <c r="G24" s="10" t="str">
        <f>IF(E24&gt;percent,"YES","NO")</f>
        <v>YES</v>
      </c>
      <c r="H24" s="25">
        <v>68000.0</v>
      </c>
      <c r="I24" s="12" t="str">
        <f t="shared" si="2"/>
        <v>NOT FUNDED</v>
      </c>
      <c r="J24" s="20">
        <f t="shared" si="3"/>
        <v>8754</v>
      </c>
      <c r="K24" s="14" t="str">
        <f t="shared" si="1"/>
        <v>Over Budget</v>
      </c>
    </row>
    <row r="25">
      <c r="A25" s="7" t="b">
        <v>0</v>
      </c>
      <c r="B25" s="23" t="s">
        <v>1301</v>
      </c>
      <c r="C25" s="18" t="s">
        <v>1318</v>
      </c>
      <c r="D25" s="16">
        <v>195.0</v>
      </c>
      <c r="E25" s="24">
        <v>6.8670791E7</v>
      </c>
      <c r="F25" s="24">
        <v>1.0080028E7</v>
      </c>
      <c r="G25" s="10" t="str">
        <f>IF(E25&gt;percent,"YES","NO")</f>
        <v>YES</v>
      </c>
      <c r="H25" s="25">
        <v>100000.0</v>
      </c>
      <c r="I25" s="12" t="str">
        <f t="shared" si="2"/>
        <v>NOT FUNDED</v>
      </c>
      <c r="J25" s="20">
        <f t="shared" si="3"/>
        <v>8754</v>
      </c>
      <c r="K25" s="14" t="str">
        <f t="shared" si="1"/>
        <v>Over Budget</v>
      </c>
    </row>
    <row r="26">
      <c r="A26" s="7" t="b">
        <v>0</v>
      </c>
      <c r="B26" s="7" t="s">
        <v>1293</v>
      </c>
      <c r="C26" s="18" t="s">
        <v>1319</v>
      </c>
      <c r="D26" s="22">
        <v>177.0</v>
      </c>
      <c r="E26" s="9">
        <v>6.7566737E7</v>
      </c>
      <c r="F26" s="9">
        <v>2.8750448E7</v>
      </c>
      <c r="G26" s="10" t="str">
        <f>IF(E26&gt;percent,"YES","NO")</f>
        <v>YES</v>
      </c>
      <c r="H26" s="19">
        <v>550000.0</v>
      </c>
      <c r="I26" s="12" t="str">
        <f t="shared" si="2"/>
        <v>NOT FUNDED</v>
      </c>
      <c r="J26" s="20">
        <f t="shared" si="3"/>
        <v>8754</v>
      </c>
      <c r="K26" s="14" t="str">
        <f t="shared" si="1"/>
        <v>Over Budget</v>
      </c>
    </row>
    <row r="27">
      <c r="A27" s="7" t="b">
        <v>0</v>
      </c>
      <c r="B27" s="23" t="s">
        <v>1301</v>
      </c>
      <c r="C27" s="18" t="s">
        <v>1320</v>
      </c>
      <c r="D27" s="16">
        <v>244.0</v>
      </c>
      <c r="E27" s="24">
        <v>6.7084199E7</v>
      </c>
      <c r="F27" s="24">
        <v>2672898.0</v>
      </c>
      <c r="G27" s="10" t="str">
        <f>IF(E27&gt;percent,"YES","NO")</f>
        <v>YES</v>
      </c>
      <c r="H27" s="25">
        <v>98742.0</v>
      </c>
      <c r="I27" s="12" t="str">
        <f t="shared" si="2"/>
        <v>NOT FUNDED</v>
      </c>
      <c r="J27" s="20">
        <f t="shared" si="3"/>
        <v>8754</v>
      </c>
      <c r="K27" s="14" t="str">
        <f t="shared" si="1"/>
        <v>Over Budget</v>
      </c>
    </row>
    <row r="28">
      <c r="A28" s="7" t="b">
        <v>0</v>
      </c>
      <c r="B28" s="23" t="s">
        <v>1301</v>
      </c>
      <c r="C28" s="18" t="s">
        <v>1321</v>
      </c>
      <c r="D28" s="16">
        <v>172.0</v>
      </c>
      <c r="E28" s="24">
        <v>6.704629E7</v>
      </c>
      <c r="F28" s="24">
        <v>1.3043868E7</v>
      </c>
      <c r="G28" s="10" t="str">
        <f>IF(E28&gt;percent,"YES","NO")</f>
        <v>YES</v>
      </c>
      <c r="H28" s="25">
        <v>100000.0</v>
      </c>
      <c r="I28" s="12" t="str">
        <f t="shared" si="2"/>
        <v>NOT FUNDED</v>
      </c>
      <c r="J28" s="20">
        <f t="shared" si="3"/>
        <v>8754</v>
      </c>
      <c r="K28" s="14" t="str">
        <f t="shared" si="1"/>
        <v>Over Budget</v>
      </c>
    </row>
    <row r="29">
      <c r="A29" s="7" t="b">
        <v>0</v>
      </c>
      <c r="B29" s="23" t="s">
        <v>1301</v>
      </c>
      <c r="C29" s="18" t="s">
        <v>1322</v>
      </c>
      <c r="D29" s="16">
        <v>168.0</v>
      </c>
      <c r="E29" s="24">
        <v>6.6373019E7</v>
      </c>
      <c r="F29" s="24">
        <v>1.1587902E7</v>
      </c>
      <c r="G29" s="10" t="str">
        <f>IF(E29&gt;percent,"YES","NO")</f>
        <v>YES</v>
      </c>
      <c r="H29" s="25">
        <v>100000.0</v>
      </c>
      <c r="I29" s="12" t="str">
        <f t="shared" si="2"/>
        <v>NOT FUNDED</v>
      </c>
      <c r="J29" s="20">
        <f t="shared" si="3"/>
        <v>8754</v>
      </c>
      <c r="K29" s="14" t="str">
        <f t="shared" si="1"/>
        <v>Over Budget</v>
      </c>
    </row>
    <row r="30">
      <c r="A30" s="7" t="b">
        <v>0</v>
      </c>
      <c r="B30" s="7" t="s">
        <v>1293</v>
      </c>
      <c r="C30" s="18" t="s">
        <v>1323</v>
      </c>
      <c r="D30" s="22">
        <v>197.0</v>
      </c>
      <c r="E30" s="9">
        <v>6.545614E7</v>
      </c>
      <c r="F30" s="9">
        <v>3.5368226E7</v>
      </c>
      <c r="G30" s="10" t="str">
        <f>IF(E30&gt;percent,"YES","NO")</f>
        <v>YES</v>
      </c>
      <c r="H30" s="19">
        <v>700000.0</v>
      </c>
      <c r="I30" s="12" t="str">
        <f t="shared" si="2"/>
        <v>NOT FUNDED</v>
      </c>
      <c r="J30" s="20">
        <f t="shared" si="3"/>
        <v>8754</v>
      </c>
      <c r="K30" s="14" t="str">
        <f t="shared" si="1"/>
        <v>Over Budget</v>
      </c>
    </row>
    <row r="31">
      <c r="A31" s="7" t="b">
        <v>0</v>
      </c>
      <c r="B31" s="7" t="s">
        <v>1293</v>
      </c>
      <c r="C31" s="18" t="s">
        <v>1324</v>
      </c>
      <c r="D31" s="22">
        <v>266.0</v>
      </c>
      <c r="E31" s="9">
        <v>6.4968877E7</v>
      </c>
      <c r="F31" s="9">
        <v>3.5571772E7</v>
      </c>
      <c r="G31" s="10" t="str">
        <f>IF(E31&gt;percent,"YES","NO")</f>
        <v>YES</v>
      </c>
      <c r="H31" s="19">
        <v>700000.0</v>
      </c>
      <c r="I31" s="12" t="str">
        <f t="shared" si="2"/>
        <v>NOT FUNDED</v>
      </c>
      <c r="J31" s="20">
        <f t="shared" si="3"/>
        <v>8754</v>
      </c>
      <c r="K31" s="14" t="str">
        <f t="shared" si="1"/>
        <v>Over Budget</v>
      </c>
    </row>
    <row r="32">
      <c r="A32" s="7" t="b">
        <v>0</v>
      </c>
      <c r="B32" s="23" t="s">
        <v>1301</v>
      </c>
      <c r="C32" s="18" t="s">
        <v>1325</v>
      </c>
      <c r="D32" s="16">
        <v>124.0</v>
      </c>
      <c r="E32" s="24">
        <v>6.4034342E7</v>
      </c>
      <c r="F32" s="24">
        <v>1.0230882E7</v>
      </c>
      <c r="G32" s="10" t="str">
        <f>IF(E32&gt;percent,"YES","NO")</f>
        <v>YES</v>
      </c>
      <c r="H32" s="25">
        <v>81000.0</v>
      </c>
      <c r="I32" s="12" t="str">
        <f t="shared" si="2"/>
        <v>NOT FUNDED</v>
      </c>
      <c r="J32" s="20">
        <f t="shared" si="3"/>
        <v>8754</v>
      </c>
      <c r="K32" s="14" t="str">
        <f t="shared" si="1"/>
        <v>Over Budget</v>
      </c>
    </row>
    <row r="33">
      <c r="A33" s="7" t="b">
        <v>0</v>
      </c>
      <c r="B33" s="23" t="s">
        <v>1301</v>
      </c>
      <c r="C33" s="18" t="s">
        <v>1326</v>
      </c>
      <c r="D33" s="16">
        <v>155.0</v>
      </c>
      <c r="E33" s="24">
        <v>6.3220281E7</v>
      </c>
      <c r="F33" s="24">
        <v>1.0221656E7</v>
      </c>
      <c r="G33" s="10" t="str">
        <f>IF(E33&gt;percent,"YES","NO")</f>
        <v>YES</v>
      </c>
      <c r="H33" s="25">
        <v>100000.0</v>
      </c>
      <c r="I33" s="12" t="str">
        <f t="shared" si="2"/>
        <v>NOT FUNDED</v>
      </c>
      <c r="J33" s="20">
        <f t="shared" si="3"/>
        <v>8754</v>
      </c>
      <c r="K33" s="14" t="str">
        <f t="shared" si="1"/>
        <v>Over Budget</v>
      </c>
    </row>
    <row r="34">
      <c r="A34" s="7" t="b">
        <v>0</v>
      </c>
      <c r="B34" s="23" t="s">
        <v>1301</v>
      </c>
      <c r="C34" s="18" t="s">
        <v>1327</v>
      </c>
      <c r="D34" s="16">
        <v>177.0</v>
      </c>
      <c r="E34" s="24">
        <v>6.3094801E7</v>
      </c>
      <c r="F34" s="24">
        <v>1.4278828E7</v>
      </c>
      <c r="G34" s="10" t="str">
        <f>IF(E34&gt;percent,"YES","NO")</f>
        <v>YES</v>
      </c>
      <c r="H34" s="25">
        <v>100000.0</v>
      </c>
      <c r="I34" s="12" t="str">
        <f t="shared" si="2"/>
        <v>NOT FUNDED</v>
      </c>
      <c r="J34" s="20">
        <f t="shared" si="3"/>
        <v>8754</v>
      </c>
      <c r="K34" s="14" t="str">
        <f t="shared" si="1"/>
        <v>Over Budget</v>
      </c>
    </row>
    <row r="35">
      <c r="A35" s="7" t="b">
        <v>0</v>
      </c>
      <c r="B35" s="7" t="s">
        <v>1293</v>
      </c>
      <c r="C35" s="18" t="s">
        <v>1328</v>
      </c>
      <c r="D35" s="22">
        <v>287.0</v>
      </c>
      <c r="E35" s="9">
        <v>6.2677352E7</v>
      </c>
      <c r="F35" s="9">
        <v>2.3659459E7</v>
      </c>
      <c r="G35" s="10" t="str">
        <f>IF(E35&gt;percent,"YES","NO")</f>
        <v>YES</v>
      </c>
      <c r="H35" s="19">
        <v>590000.0</v>
      </c>
      <c r="I35" s="12" t="str">
        <f t="shared" si="2"/>
        <v>NOT FUNDED</v>
      </c>
      <c r="J35" s="20">
        <f t="shared" si="3"/>
        <v>8754</v>
      </c>
      <c r="K35" s="14" t="str">
        <f t="shared" si="1"/>
        <v>Over Budget</v>
      </c>
    </row>
    <row r="36">
      <c r="A36" s="7" t="b">
        <v>0</v>
      </c>
      <c r="B36" s="23" t="s">
        <v>1301</v>
      </c>
      <c r="C36" s="18" t="s">
        <v>1329</v>
      </c>
      <c r="D36" s="16">
        <v>125.0</v>
      </c>
      <c r="E36" s="24">
        <v>6.2111068E7</v>
      </c>
      <c r="F36" s="24">
        <v>6814781.0</v>
      </c>
      <c r="G36" s="10" t="str">
        <f>IF(E36&gt;percent,"YES","NO")</f>
        <v>YES</v>
      </c>
      <c r="H36" s="25">
        <v>90000.0</v>
      </c>
      <c r="I36" s="12" t="str">
        <f t="shared" si="2"/>
        <v>NOT FUNDED</v>
      </c>
      <c r="J36" s="20">
        <f t="shared" si="3"/>
        <v>8754</v>
      </c>
      <c r="K36" s="14" t="str">
        <f t="shared" si="1"/>
        <v>Over Budget</v>
      </c>
    </row>
    <row r="37">
      <c r="A37" s="7" t="b">
        <v>0</v>
      </c>
      <c r="B37" s="7" t="s">
        <v>1293</v>
      </c>
      <c r="C37" s="18" t="s">
        <v>1330</v>
      </c>
      <c r="D37" s="22">
        <v>273.0</v>
      </c>
      <c r="E37" s="9">
        <v>6.1664587E7</v>
      </c>
      <c r="F37" s="9">
        <v>3.2982207E7</v>
      </c>
      <c r="G37" s="10" t="str">
        <f>IF(E37&gt;percent,"YES","NO")</f>
        <v>YES</v>
      </c>
      <c r="H37" s="19">
        <v>636800.0</v>
      </c>
      <c r="I37" s="12" t="str">
        <f t="shared" si="2"/>
        <v>NOT FUNDED</v>
      </c>
      <c r="J37" s="20">
        <f t="shared" si="3"/>
        <v>8754</v>
      </c>
      <c r="K37" s="14" t="str">
        <f t="shared" si="1"/>
        <v>Over Budget</v>
      </c>
    </row>
    <row r="38">
      <c r="A38" s="7" t="b">
        <v>0</v>
      </c>
      <c r="B38" s="23" t="s">
        <v>1301</v>
      </c>
      <c r="C38" s="18" t="s">
        <v>1331</v>
      </c>
      <c r="D38" s="16">
        <v>177.0</v>
      </c>
      <c r="E38" s="24">
        <v>6.1626151E7</v>
      </c>
      <c r="F38" s="24">
        <v>1.0188725E7</v>
      </c>
      <c r="G38" s="10" t="str">
        <f>IF(E38&gt;percent,"YES","NO")</f>
        <v>YES</v>
      </c>
      <c r="H38" s="25">
        <v>100000.0</v>
      </c>
      <c r="I38" s="12" t="str">
        <f t="shared" si="2"/>
        <v>NOT FUNDED</v>
      </c>
      <c r="J38" s="20">
        <f t="shared" si="3"/>
        <v>8754</v>
      </c>
      <c r="K38" s="14" t="str">
        <f t="shared" si="1"/>
        <v>Over Budget</v>
      </c>
    </row>
    <row r="39">
      <c r="A39" s="7" t="b">
        <v>0</v>
      </c>
      <c r="B39" s="7" t="s">
        <v>1293</v>
      </c>
      <c r="C39" s="18" t="s">
        <v>1332</v>
      </c>
      <c r="D39" s="22">
        <v>245.0</v>
      </c>
      <c r="E39" s="9">
        <v>6.1242624E7</v>
      </c>
      <c r="F39" s="9">
        <v>2.6645341E7</v>
      </c>
      <c r="G39" s="10" t="str">
        <f>IF(E39&gt;percent,"YES","NO")</f>
        <v>YES</v>
      </c>
      <c r="H39" s="19">
        <v>250000.0</v>
      </c>
      <c r="I39" s="12" t="str">
        <f t="shared" si="2"/>
        <v>NOT FUNDED</v>
      </c>
      <c r="J39" s="20">
        <f t="shared" si="3"/>
        <v>8754</v>
      </c>
      <c r="K39" s="14" t="str">
        <f t="shared" si="1"/>
        <v>Over Budget</v>
      </c>
    </row>
    <row r="40">
      <c r="A40" s="7" t="b">
        <v>0</v>
      </c>
      <c r="B40" s="23" t="s">
        <v>1301</v>
      </c>
      <c r="C40" s="18" t="s">
        <v>1333</v>
      </c>
      <c r="D40" s="16">
        <v>148.0</v>
      </c>
      <c r="E40" s="24">
        <v>6.0882762E7</v>
      </c>
      <c r="F40" s="24">
        <v>8907243.0</v>
      </c>
      <c r="G40" s="10" t="str">
        <f>IF(E40&gt;percent,"YES","NO")</f>
        <v>YES</v>
      </c>
      <c r="H40" s="25">
        <v>85000.0</v>
      </c>
      <c r="I40" s="12" t="str">
        <f t="shared" si="2"/>
        <v>NOT FUNDED</v>
      </c>
      <c r="J40" s="20">
        <f t="shared" si="3"/>
        <v>8754</v>
      </c>
      <c r="K40" s="14" t="str">
        <f t="shared" si="1"/>
        <v>Over Budget</v>
      </c>
    </row>
    <row r="41">
      <c r="A41" s="7" t="b">
        <v>0</v>
      </c>
      <c r="B41" s="23" t="s">
        <v>1301</v>
      </c>
      <c r="C41" s="18" t="s">
        <v>1334</v>
      </c>
      <c r="D41" s="16">
        <v>134.0</v>
      </c>
      <c r="E41" s="24">
        <v>6.0844179E7</v>
      </c>
      <c r="F41" s="24">
        <v>6332652.0</v>
      </c>
      <c r="G41" s="10" t="str">
        <f>IF(E41&gt;percent,"YES","NO")</f>
        <v>YES</v>
      </c>
      <c r="H41" s="25">
        <v>60000.0</v>
      </c>
      <c r="I41" s="12" t="str">
        <f t="shared" si="2"/>
        <v>NOT FUNDED</v>
      </c>
      <c r="J41" s="20">
        <f t="shared" si="3"/>
        <v>8754</v>
      </c>
      <c r="K41" s="14" t="str">
        <f t="shared" si="1"/>
        <v>Over Budget</v>
      </c>
    </row>
    <row r="42">
      <c r="A42" s="7" t="b">
        <v>0</v>
      </c>
      <c r="B42" s="23" t="s">
        <v>1301</v>
      </c>
      <c r="C42" s="18" t="s">
        <v>1335</v>
      </c>
      <c r="D42" s="16">
        <v>259.0</v>
      </c>
      <c r="E42" s="24">
        <v>6.0281973E7</v>
      </c>
      <c r="F42" s="24">
        <v>7896283.0</v>
      </c>
      <c r="G42" s="10" t="str">
        <f>IF(E42&gt;percent,"YES","NO")</f>
        <v>YES</v>
      </c>
      <c r="H42" s="25">
        <v>100000.0</v>
      </c>
      <c r="I42" s="12" t="str">
        <f t="shared" si="2"/>
        <v>NOT FUNDED</v>
      </c>
      <c r="J42" s="20">
        <f t="shared" si="3"/>
        <v>8754</v>
      </c>
      <c r="K42" s="14" t="str">
        <f t="shared" si="1"/>
        <v>Over Budget</v>
      </c>
    </row>
    <row r="43">
      <c r="A43" s="7" t="b">
        <v>0</v>
      </c>
      <c r="B43" s="23" t="s">
        <v>1301</v>
      </c>
      <c r="C43" s="18" t="s">
        <v>1336</v>
      </c>
      <c r="D43" s="16">
        <v>204.0</v>
      </c>
      <c r="E43" s="24">
        <v>5.9375932E7</v>
      </c>
      <c r="F43" s="24">
        <v>6602876.0</v>
      </c>
      <c r="G43" s="10" t="str">
        <f>IF(E43&gt;percent,"YES","NO")</f>
        <v>YES</v>
      </c>
      <c r="H43" s="25">
        <v>76500.0</v>
      </c>
      <c r="I43" s="12" t="str">
        <f t="shared" si="2"/>
        <v>NOT FUNDED</v>
      </c>
      <c r="J43" s="20">
        <f t="shared" si="3"/>
        <v>8754</v>
      </c>
      <c r="K43" s="14" t="str">
        <f t="shared" si="1"/>
        <v>Over Budget</v>
      </c>
    </row>
    <row r="44">
      <c r="A44" s="7" t="b">
        <v>0</v>
      </c>
      <c r="B44" s="23" t="s">
        <v>1301</v>
      </c>
      <c r="C44" s="18" t="s">
        <v>1337</v>
      </c>
      <c r="D44" s="16">
        <v>133.0</v>
      </c>
      <c r="E44" s="24">
        <v>5.8315178E7</v>
      </c>
      <c r="F44" s="24">
        <v>1.1102485E7</v>
      </c>
      <c r="G44" s="10" t="str">
        <f>IF(E44&gt;percent,"YES","NO")</f>
        <v>YES</v>
      </c>
      <c r="H44" s="25">
        <v>100000.0</v>
      </c>
      <c r="I44" s="12" t="str">
        <f t="shared" si="2"/>
        <v>NOT FUNDED</v>
      </c>
      <c r="J44" s="20">
        <f t="shared" si="3"/>
        <v>8754</v>
      </c>
      <c r="K44" s="14" t="str">
        <f t="shared" si="1"/>
        <v>Over Budget</v>
      </c>
    </row>
    <row r="45">
      <c r="A45" s="7" t="b">
        <v>0</v>
      </c>
      <c r="B45" s="23" t="s">
        <v>1301</v>
      </c>
      <c r="C45" s="18" t="s">
        <v>1338</v>
      </c>
      <c r="D45" s="16">
        <v>195.0</v>
      </c>
      <c r="E45" s="24">
        <v>5.8115308E7</v>
      </c>
      <c r="F45" s="24">
        <v>5697936.0</v>
      </c>
      <c r="G45" s="10" t="str">
        <f>IF(E45&gt;percent,"YES","NO")</f>
        <v>YES</v>
      </c>
      <c r="H45" s="25">
        <v>99861.0</v>
      </c>
      <c r="I45" s="12" t="str">
        <f t="shared" si="2"/>
        <v>NOT FUNDED</v>
      </c>
      <c r="J45" s="20">
        <f t="shared" si="3"/>
        <v>8754</v>
      </c>
      <c r="K45" s="14" t="str">
        <f t="shared" si="1"/>
        <v>Over Budget</v>
      </c>
    </row>
    <row r="46">
      <c r="A46" s="7" t="b">
        <v>0</v>
      </c>
      <c r="B46" s="7" t="s">
        <v>1293</v>
      </c>
      <c r="C46" s="18" t="s">
        <v>1339</v>
      </c>
      <c r="D46" s="22">
        <v>310.0</v>
      </c>
      <c r="E46" s="9">
        <v>5.7253369E7</v>
      </c>
      <c r="F46" s="9">
        <v>2.8055172E7</v>
      </c>
      <c r="G46" s="10" t="str">
        <f>IF(E46&gt;percent,"YES","NO")</f>
        <v>YES</v>
      </c>
      <c r="H46" s="19">
        <v>490000.0</v>
      </c>
      <c r="I46" s="12" t="str">
        <f t="shared" si="2"/>
        <v>NOT FUNDED</v>
      </c>
      <c r="J46" s="20">
        <f t="shared" si="3"/>
        <v>8754</v>
      </c>
      <c r="K46" s="14" t="str">
        <f t="shared" si="1"/>
        <v>Over Budget</v>
      </c>
    </row>
    <row r="47">
      <c r="A47" s="7" t="b">
        <v>0</v>
      </c>
      <c r="B47" s="23" t="s">
        <v>1301</v>
      </c>
      <c r="C47" s="18" t="s">
        <v>1340</v>
      </c>
      <c r="D47" s="16">
        <v>253.0</v>
      </c>
      <c r="E47" s="24">
        <v>5.6910276E7</v>
      </c>
      <c r="F47" s="24">
        <v>6424529.0</v>
      </c>
      <c r="G47" s="10" t="str">
        <f>IF(E47&gt;percent,"YES","NO")</f>
        <v>YES</v>
      </c>
      <c r="H47" s="25">
        <v>65000.0</v>
      </c>
      <c r="I47" s="12" t="str">
        <f t="shared" si="2"/>
        <v>NOT FUNDED</v>
      </c>
      <c r="J47" s="20">
        <f t="shared" si="3"/>
        <v>8754</v>
      </c>
      <c r="K47" s="14" t="str">
        <f t="shared" si="1"/>
        <v>Over Budget</v>
      </c>
    </row>
    <row r="48">
      <c r="A48" s="7" t="b">
        <v>0</v>
      </c>
      <c r="B48" s="23" t="s">
        <v>1301</v>
      </c>
      <c r="C48" s="18" t="s">
        <v>1341</v>
      </c>
      <c r="D48" s="16">
        <v>133.0</v>
      </c>
      <c r="E48" s="24">
        <v>5.6832084E7</v>
      </c>
      <c r="F48" s="24">
        <v>3904910.0</v>
      </c>
      <c r="G48" s="10" t="str">
        <f>IF(E48&gt;percent,"YES","NO")</f>
        <v>YES</v>
      </c>
      <c r="H48" s="25">
        <v>68000.0</v>
      </c>
      <c r="I48" s="12" t="str">
        <f t="shared" si="2"/>
        <v>NOT FUNDED</v>
      </c>
      <c r="J48" s="20">
        <f t="shared" si="3"/>
        <v>8754</v>
      </c>
      <c r="K48" s="14" t="str">
        <f t="shared" si="1"/>
        <v>Over Budget</v>
      </c>
    </row>
    <row r="49">
      <c r="A49" s="7" t="b">
        <v>0</v>
      </c>
      <c r="B49" s="23" t="s">
        <v>1301</v>
      </c>
      <c r="C49" s="18" t="s">
        <v>1342</v>
      </c>
      <c r="D49" s="16">
        <v>129.0</v>
      </c>
      <c r="E49" s="24">
        <v>5.5250223E7</v>
      </c>
      <c r="F49" s="24">
        <v>1.1794952E7</v>
      </c>
      <c r="G49" s="10" t="str">
        <f>IF(E49&gt;percent,"YES","NO")</f>
        <v>YES</v>
      </c>
      <c r="H49" s="25">
        <v>100000.0</v>
      </c>
      <c r="I49" s="12" t="str">
        <f t="shared" si="2"/>
        <v>NOT FUNDED</v>
      </c>
      <c r="J49" s="20">
        <f t="shared" si="3"/>
        <v>8754</v>
      </c>
      <c r="K49" s="14" t="str">
        <f t="shared" si="1"/>
        <v>Over Budget</v>
      </c>
    </row>
    <row r="50">
      <c r="A50" s="7" t="b">
        <v>0</v>
      </c>
      <c r="B50" s="7" t="s">
        <v>1293</v>
      </c>
      <c r="C50" s="18" t="s">
        <v>1343</v>
      </c>
      <c r="D50" s="22">
        <v>250.0</v>
      </c>
      <c r="E50" s="9">
        <v>5.4636633E7</v>
      </c>
      <c r="F50" s="9">
        <v>2.6617889E7</v>
      </c>
      <c r="G50" s="10" t="str">
        <f>IF(E50&gt;percent,"YES","NO")</f>
        <v>YES</v>
      </c>
      <c r="H50" s="19">
        <v>408000.0</v>
      </c>
      <c r="I50" s="12" t="str">
        <f t="shared" si="2"/>
        <v>NOT FUNDED</v>
      </c>
      <c r="J50" s="20">
        <f t="shared" si="3"/>
        <v>8754</v>
      </c>
      <c r="K50" s="14" t="str">
        <f t="shared" si="1"/>
        <v>Over Budget</v>
      </c>
    </row>
    <row r="51">
      <c r="A51" s="7" t="b">
        <v>0</v>
      </c>
      <c r="B51" s="7" t="s">
        <v>1293</v>
      </c>
      <c r="C51" s="18" t="s">
        <v>1344</v>
      </c>
      <c r="D51" s="22">
        <v>204.0</v>
      </c>
      <c r="E51" s="9">
        <v>5.4242398E7</v>
      </c>
      <c r="F51" s="9">
        <v>3.0393784E7</v>
      </c>
      <c r="G51" s="10" t="str">
        <f>IF(E51&gt;percent,"YES","NO")</f>
        <v>YES</v>
      </c>
      <c r="H51" s="19">
        <v>250000.0</v>
      </c>
      <c r="I51" s="12" t="str">
        <f t="shared" si="2"/>
        <v>NOT FUNDED</v>
      </c>
      <c r="J51" s="20">
        <f t="shared" si="3"/>
        <v>8754</v>
      </c>
      <c r="K51" s="14" t="str">
        <f t="shared" si="1"/>
        <v>Over Budget</v>
      </c>
    </row>
    <row r="52">
      <c r="A52" s="7" t="b">
        <v>0</v>
      </c>
      <c r="B52" s="23" t="s">
        <v>1301</v>
      </c>
      <c r="C52" s="18" t="s">
        <v>1345</v>
      </c>
      <c r="D52" s="16">
        <v>156.0</v>
      </c>
      <c r="E52" s="24">
        <v>5.4120191E7</v>
      </c>
      <c r="F52" s="24">
        <v>7895308.0</v>
      </c>
      <c r="G52" s="10" t="str">
        <f>IF(E52&gt;percent,"YES","NO")</f>
        <v>YES</v>
      </c>
      <c r="H52" s="25">
        <v>75000.0</v>
      </c>
      <c r="I52" s="12" t="str">
        <f t="shared" si="2"/>
        <v>NOT FUNDED</v>
      </c>
      <c r="J52" s="20">
        <f t="shared" si="3"/>
        <v>8754</v>
      </c>
      <c r="K52" s="14" t="str">
        <f t="shared" si="1"/>
        <v>Over Budget</v>
      </c>
    </row>
    <row r="53">
      <c r="A53" s="7" t="b">
        <v>0</v>
      </c>
      <c r="B53" s="7" t="s">
        <v>1293</v>
      </c>
      <c r="C53" s="18" t="s">
        <v>1346</v>
      </c>
      <c r="D53" s="22">
        <v>221.0</v>
      </c>
      <c r="E53" s="9">
        <v>5.3843707E7</v>
      </c>
      <c r="F53" s="9">
        <v>2.8261432E7</v>
      </c>
      <c r="G53" s="10" t="str">
        <f>IF(E53&gt;percent,"YES","NO")</f>
        <v>YES</v>
      </c>
      <c r="H53" s="19">
        <v>338000.0</v>
      </c>
      <c r="I53" s="12" t="str">
        <f t="shared" si="2"/>
        <v>NOT FUNDED</v>
      </c>
      <c r="J53" s="20">
        <f t="shared" si="3"/>
        <v>8754</v>
      </c>
      <c r="K53" s="14" t="str">
        <f t="shared" si="1"/>
        <v>Over Budget</v>
      </c>
    </row>
    <row r="54">
      <c r="A54" s="7" t="b">
        <v>0</v>
      </c>
      <c r="B54" s="7" t="s">
        <v>1293</v>
      </c>
      <c r="C54" s="18" t="s">
        <v>1347</v>
      </c>
      <c r="D54" s="22">
        <v>146.0</v>
      </c>
      <c r="E54" s="9">
        <v>5.35066E7</v>
      </c>
      <c r="F54" s="9">
        <v>2.7426907E7</v>
      </c>
      <c r="G54" s="10" t="str">
        <f>IF(E54&gt;percent,"YES","NO")</f>
        <v>YES</v>
      </c>
      <c r="H54" s="19">
        <v>350000.0</v>
      </c>
      <c r="I54" s="12" t="str">
        <f t="shared" si="2"/>
        <v>NOT FUNDED</v>
      </c>
      <c r="J54" s="20">
        <f t="shared" si="3"/>
        <v>8754</v>
      </c>
      <c r="K54" s="14" t="str">
        <f t="shared" si="1"/>
        <v>Over Budget</v>
      </c>
    </row>
    <row r="55">
      <c r="A55" s="7" t="b">
        <v>0</v>
      </c>
      <c r="B55" s="7" t="s">
        <v>1293</v>
      </c>
      <c r="C55" s="18" t="s">
        <v>1348</v>
      </c>
      <c r="D55" s="22">
        <v>178.0</v>
      </c>
      <c r="E55" s="9">
        <v>5.3037787E7</v>
      </c>
      <c r="F55" s="9">
        <v>2.7426734E7</v>
      </c>
      <c r="G55" s="10" t="str">
        <f>IF(E55&gt;percent,"YES","NO")</f>
        <v>YES</v>
      </c>
      <c r="H55" s="19">
        <v>480000.0</v>
      </c>
      <c r="I55" s="12" t="str">
        <f t="shared" si="2"/>
        <v>NOT FUNDED</v>
      </c>
      <c r="J55" s="20">
        <f t="shared" si="3"/>
        <v>8754</v>
      </c>
      <c r="K55" s="14" t="str">
        <f t="shared" si="1"/>
        <v>Over Budget</v>
      </c>
    </row>
    <row r="56">
      <c r="A56" s="7" t="b">
        <v>0</v>
      </c>
      <c r="B56" s="23" t="s">
        <v>1301</v>
      </c>
      <c r="C56" s="18" t="s">
        <v>1349</v>
      </c>
      <c r="D56" s="16">
        <v>131.0</v>
      </c>
      <c r="E56" s="24">
        <v>5.2899803E7</v>
      </c>
      <c r="F56" s="24">
        <v>2.2032461E7</v>
      </c>
      <c r="G56" s="10" t="str">
        <f>IF(E56&gt;percent,"YES","NO")</f>
        <v>YES</v>
      </c>
      <c r="H56" s="25">
        <v>85000.0</v>
      </c>
      <c r="I56" s="12" t="str">
        <f t="shared" si="2"/>
        <v>NOT FUNDED</v>
      </c>
      <c r="J56" s="20">
        <f t="shared" si="3"/>
        <v>8754</v>
      </c>
      <c r="K56" s="14" t="str">
        <f t="shared" si="1"/>
        <v>Over Budget</v>
      </c>
    </row>
    <row r="57">
      <c r="A57" s="7" t="b">
        <v>0</v>
      </c>
      <c r="B57" s="7" t="s">
        <v>1293</v>
      </c>
      <c r="C57" s="18" t="s">
        <v>1350</v>
      </c>
      <c r="D57" s="22">
        <v>206.0</v>
      </c>
      <c r="E57" s="9">
        <v>5.2873035E7</v>
      </c>
      <c r="F57" s="9">
        <v>3.452984E7</v>
      </c>
      <c r="G57" s="10" t="str">
        <f>IF(E57&gt;percent,"YES","NO")</f>
        <v>YES</v>
      </c>
      <c r="H57" s="19">
        <v>500000.0</v>
      </c>
      <c r="I57" s="12" t="str">
        <f t="shared" si="2"/>
        <v>NOT FUNDED</v>
      </c>
      <c r="J57" s="20">
        <f t="shared" si="3"/>
        <v>8754</v>
      </c>
      <c r="K57" s="14" t="str">
        <f t="shared" si="1"/>
        <v>Over Budget</v>
      </c>
    </row>
    <row r="58">
      <c r="A58" s="7" t="b">
        <v>0</v>
      </c>
      <c r="B58" s="23" t="s">
        <v>1301</v>
      </c>
      <c r="C58" s="18" t="s">
        <v>1351</v>
      </c>
      <c r="D58" s="16">
        <v>123.0</v>
      </c>
      <c r="E58" s="24">
        <v>5.2833863E7</v>
      </c>
      <c r="F58" s="24">
        <v>1.2353839E7</v>
      </c>
      <c r="G58" s="10" t="str">
        <f>IF(E58&gt;percent,"YES","NO")</f>
        <v>YES</v>
      </c>
      <c r="H58" s="25">
        <v>100000.0</v>
      </c>
      <c r="I58" s="12" t="str">
        <f t="shared" si="2"/>
        <v>NOT FUNDED</v>
      </c>
      <c r="J58" s="20">
        <f t="shared" si="3"/>
        <v>8754</v>
      </c>
      <c r="K58" s="14" t="str">
        <f t="shared" si="1"/>
        <v>Over Budget</v>
      </c>
    </row>
    <row r="59">
      <c r="A59" s="7" t="b">
        <v>0</v>
      </c>
      <c r="B59" s="23" t="s">
        <v>1301</v>
      </c>
      <c r="C59" s="18" t="s">
        <v>1352</v>
      </c>
      <c r="D59" s="16">
        <v>143.0</v>
      </c>
      <c r="E59" s="24">
        <v>5.2301414E7</v>
      </c>
      <c r="F59" s="24">
        <v>6586084.0</v>
      </c>
      <c r="G59" s="10" t="str">
        <f>IF(E59&gt;percent,"YES","NO")</f>
        <v>YES</v>
      </c>
      <c r="H59" s="25">
        <v>95000.0</v>
      </c>
      <c r="I59" s="12" t="str">
        <f t="shared" si="2"/>
        <v>NOT FUNDED</v>
      </c>
      <c r="J59" s="20">
        <f t="shared" si="3"/>
        <v>8754</v>
      </c>
      <c r="K59" s="14" t="str">
        <f t="shared" si="1"/>
        <v>Over Budget</v>
      </c>
    </row>
    <row r="60">
      <c r="A60" s="7" t="b">
        <v>0</v>
      </c>
      <c r="B60" s="23" t="s">
        <v>1301</v>
      </c>
      <c r="C60" s="18" t="s">
        <v>1353</v>
      </c>
      <c r="D60" s="16">
        <v>259.0</v>
      </c>
      <c r="E60" s="24">
        <v>5.199965E7</v>
      </c>
      <c r="F60" s="24">
        <v>2.1844152E7</v>
      </c>
      <c r="G60" s="10" t="str">
        <f>IF(E60&gt;percent,"YES","NO")</f>
        <v>YES</v>
      </c>
      <c r="H60" s="25">
        <v>67200.0</v>
      </c>
      <c r="I60" s="12" t="str">
        <f t="shared" si="2"/>
        <v>NOT FUNDED</v>
      </c>
      <c r="J60" s="20">
        <f t="shared" si="3"/>
        <v>8754</v>
      </c>
      <c r="K60" s="14" t="str">
        <f t="shared" si="1"/>
        <v>Over Budget</v>
      </c>
    </row>
    <row r="61">
      <c r="A61" s="7" t="b">
        <v>0</v>
      </c>
      <c r="B61" s="23" t="s">
        <v>1301</v>
      </c>
      <c r="C61" s="18" t="s">
        <v>1354</v>
      </c>
      <c r="D61" s="16">
        <v>250.0</v>
      </c>
      <c r="E61" s="24">
        <v>5.1987851E7</v>
      </c>
      <c r="F61" s="24">
        <v>1.1308329E7</v>
      </c>
      <c r="G61" s="10" t="str">
        <f>IF(E61&gt;percent,"YES","NO")</f>
        <v>YES</v>
      </c>
      <c r="H61" s="25">
        <v>100000.0</v>
      </c>
      <c r="I61" s="12" t="str">
        <f t="shared" si="2"/>
        <v>NOT FUNDED</v>
      </c>
      <c r="J61" s="20">
        <f t="shared" si="3"/>
        <v>8754</v>
      </c>
      <c r="K61" s="14" t="str">
        <f t="shared" si="1"/>
        <v>Over Budget</v>
      </c>
    </row>
    <row r="62">
      <c r="A62" s="7" t="b">
        <v>0</v>
      </c>
      <c r="B62" s="23" t="s">
        <v>1301</v>
      </c>
      <c r="C62" s="18" t="s">
        <v>1355</v>
      </c>
      <c r="D62" s="16">
        <v>139.0</v>
      </c>
      <c r="E62" s="24">
        <v>5.0737589E7</v>
      </c>
      <c r="F62" s="24">
        <v>7384563.0</v>
      </c>
      <c r="G62" s="10" t="str">
        <f>IF(E62&gt;percent,"YES","NO")</f>
        <v>YES</v>
      </c>
      <c r="H62" s="25">
        <v>70000.0</v>
      </c>
      <c r="I62" s="12" t="str">
        <f t="shared" si="2"/>
        <v>NOT FUNDED</v>
      </c>
      <c r="J62" s="20">
        <f t="shared" si="3"/>
        <v>8754</v>
      </c>
      <c r="K62" s="14" t="str">
        <f t="shared" si="1"/>
        <v>Over Budget</v>
      </c>
    </row>
    <row r="63">
      <c r="A63" s="7" t="b">
        <v>0</v>
      </c>
      <c r="B63" s="23" t="s">
        <v>1301</v>
      </c>
      <c r="C63" s="18" t="s">
        <v>1356</v>
      </c>
      <c r="D63" s="16">
        <v>133.0</v>
      </c>
      <c r="E63" s="24">
        <v>5.0697254E7</v>
      </c>
      <c r="F63" s="24">
        <v>1.2361268E7</v>
      </c>
      <c r="G63" s="10" t="str">
        <f>IF(E63&gt;percent,"YES","NO")</f>
        <v>YES</v>
      </c>
      <c r="H63" s="25">
        <v>100000.0</v>
      </c>
      <c r="I63" s="12" t="str">
        <f t="shared" si="2"/>
        <v>NOT FUNDED</v>
      </c>
      <c r="J63" s="20">
        <f t="shared" si="3"/>
        <v>8754</v>
      </c>
      <c r="K63" s="14" t="str">
        <f t="shared" si="1"/>
        <v>Over Budget</v>
      </c>
    </row>
    <row r="64">
      <c r="A64" s="7" t="b">
        <v>0</v>
      </c>
      <c r="B64" s="7" t="s">
        <v>1293</v>
      </c>
      <c r="C64" s="18" t="s">
        <v>1357</v>
      </c>
      <c r="D64" s="22">
        <v>249.0</v>
      </c>
      <c r="E64" s="9">
        <v>4.9502551E7</v>
      </c>
      <c r="F64" s="9">
        <v>3.0005811E7</v>
      </c>
      <c r="G64" s="10" t="str">
        <f>IF(E64&gt;percent,"YES","NO")</f>
        <v>YES</v>
      </c>
      <c r="H64" s="19">
        <v>360793.0</v>
      </c>
      <c r="I64" s="12" t="str">
        <f t="shared" si="2"/>
        <v>NOT FUNDED</v>
      </c>
      <c r="J64" s="20">
        <f t="shared" si="3"/>
        <v>8754</v>
      </c>
      <c r="K64" s="14" t="str">
        <f t="shared" si="1"/>
        <v>Over Budget</v>
      </c>
    </row>
    <row r="65">
      <c r="A65" s="7" t="b">
        <v>0</v>
      </c>
      <c r="B65" s="7" t="s">
        <v>1293</v>
      </c>
      <c r="C65" s="18" t="s">
        <v>1358</v>
      </c>
      <c r="D65" s="22">
        <v>236.0</v>
      </c>
      <c r="E65" s="9">
        <v>4.9405374E7</v>
      </c>
      <c r="F65" s="9">
        <v>3.8609891E7</v>
      </c>
      <c r="G65" s="10" t="str">
        <f>IF(E65&gt;percent,"YES","NO")</f>
        <v>YES</v>
      </c>
      <c r="H65" s="19">
        <v>280000.0</v>
      </c>
      <c r="I65" s="12" t="str">
        <f t="shared" si="2"/>
        <v>NOT FUNDED</v>
      </c>
      <c r="J65" s="20">
        <f t="shared" si="3"/>
        <v>8754</v>
      </c>
      <c r="K65" s="14" t="str">
        <f t="shared" si="1"/>
        <v>Over Budget</v>
      </c>
    </row>
    <row r="66">
      <c r="A66" s="7" t="b">
        <v>0</v>
      </c>
      <c r="B66" s="23" t="s">
        <v>1301</v>
      </c>
      <c r="C66" s="18" t="s">
        <v>1359</v>
      </c>
      <c r="D66" s="16">
        <v>178.0</v>
      </c>
      <c r="E66" s="24">
        <v>4.9306268E7</v>
      </c>
      <c r="F66" s="24">
        <v>8505860.0</v>
      </c>
      <c r="G66" s="10" t="str">
        <f>IF(E66&gt;percent,"YES","NO")</f>
        <v>YES</v>
      </c>
      <c r="H66" s="25">
        <v>20000.0</v>
      </c>
      <c r="I66" s="12" t="str">
        <f t="shared" si="2"/>
        <v>NOT FUNDED</v>
      </c>
      <c r="J66" s="20">
        <f t="shared" si="3"/>
        <v>8754</v>
      </c>
      <c r="K66" s="14" t="str">
        <f t="shared" si="1"/>
        <v>Over Budget</v>
      </c>
    </row>
    <row r="67">
      <c r="A67" s="7" t="b">
        <v>0</v>
      </c>
      <c r="B67" s="23" t="s">
        <v>1301</v>
      </c>
      <c r="C67" s="18" t="s">
        <v>1360</v>
      </c>
      <c r="D67" s="16">
        <v>157.0</v>
      </c>
      <c r="E67" s="24">
        <v>4.9222574E7</v>
      </c>
      <c r="F67" s="24">
        <v>7841934.0</v>
      </c>
      <c r="G67" s="10" t="str">
        <f>IF(E67&gt;percent,"YES","NO")</f>
        <v>YES</v>
      </c>
      <c r="H67" s="25">
        <v>75000.0</v>
      </c>
      <c r="I67" s="12" t="str">
        <f t="shared" si="2"/>
        <v>NOT FUNDED</v>
      </c>
      <c r="J67" s="20">
        <f t="shared" si="3"/>
        <v>8754</v>
      </c>
      <c r="K67" s="14" t="str">
        <f t="shared" si="1"/>
        <v>Over Budget</v>
      </c>
    </row>
    <row r="68">
      <c r="A68" s="7" t="b">
        <v>0</v>
      </c>
      <c r="B68" s="23" t="s">
        <v>1301</v>
      </c>
      <c r="C68" s="18" t="s">
        <v>1361</v>
      </c>
      <c r="D68" s="16">
        <v>127.0</v>
      </c>
      <c r="E68" s="24">
        <v>4.8878005E7</v>
      </c>
      <c r="F68" s="24">
        <v>8368747.0</v>
      </c>
      <c r="G68" s="10" t="str">
        <f>IF(E68&gt;percent,"YES","NO")</f>
        <v>YES</v>
      </c>
      <c r="H68" s="25">
        <v>60000.0</v>
      </c>
      <c r="I68" s="12" t="str">
        <f t="shared" si="2"/>
        <v>NOT FUNDED</v>
      </c>
      <c r="J68" s="20">
        <f t="shared" si="3"/>
        <v>8754</v>
      </c>
      <c r="K68" s="14" t="str">
        <f t="shared" si="1"/>
        <v>Over Budget</v>
      </c>
    </row>
    <row r="69">
      <c r="A69" s="7" t="b">
        <v>0</v>
      </c>
      <c r="B69" s="23" t="s">
        <v>1301</v>
      </c>
      <c r="C69" s="18" t="s">
        <v>1362</v>
      </c>
      <c r="D69" s="16">
        <v>152.0</v>
      </c>
      <c r="E69" s="24">
        <v>4.8070658E7</v>
      </c>
      <c r="F69" s="24">
        <v>7742137.0</v>
      </c>
      <c r="G69" s="10" t="str">
        <f>IF(E69&gt;percent,"YES","NO")</f>
        <v>YES</v>
      </c>
      <c r="H69" s="25">
        <v>75000.0</v>
      </c>
      <c r="I69" s="12" t="str">
        <f t="shared" si="2"/>
        <v>NOT FUNDED</v>
      </c>
      <c r="J69" s="20">
        <f t="shared" si="3"/>
        <v>8754</v>
      </c>
      <c r="K69" s="14" t="str">
        <f t="shared" si="1"/>
        <v>Over Budget</v>
      </c>
    </row>
    <row r="70">
      <c r="A70" s="7" t="b">
        <v>0</v>
      </c>
      <c r="B70" s="7" t="s">
        <v>1293</v>
      </c>
      <c r="C70" s="18" t="s">
        <v>1363</v>
      </c>
      <c r="D70" s="22">
        <v>164.0</v>
      </c>
      <c r="E70" s="9">
        <v>4.7937513E7</v>
      </c>
      <c r="F70" s="9">
        <v>3.2031478E7</v>
      </c>
      <c r="G70" s="10" t="str">
        <f>IF(E70&gt;percent,"YES","NO")</f>
        <v>YES</v>
      </c>
      <c r="H70" s="19">
        <v>500000.0</v>
      </c>
      <c r="I70" s="12" t="str">
        <f t="shared" si="2"/>
        <v>NOT FUNDED</v>
      </c>
      <c r="J70" s="20">
        <f t="shared" si="3"/>
        <v>8754</v>
      </c>
      <c r="K70" s="14" t="str">
        <f t="shared" si="1"/>
        <v>Over Budget</v>
      </c>
    </row>
    <row r="71">
      <c r="A71" s="7" t="b">
        <v>0</v>
      </c>
      <c r="B71" s="7" t="s">
        <v>1293</v>
      </c>
      <c r="C71" s="18" t="s">
        <v>1364</v>
      </c>
      <c r="D71" s="22">
        <v>225.0</v>
      </c>
      <c r="E71" s="9">
        <v>4.7689552E7</v>
      </c>
      <c r="F71" s="9">
        <v>3.2359898E7</v>
      </c>
      <c r="G71" s="10" t="str">
        <f>IF(E71&gt;percent,"YES","NO")</f>
        <v>YES</v>
      </c>
      <c r="H71" s="19">
        <v>500000.0</v>
      </c>
      <c r="I71" s="12" t="str">
        <f t="shared" si="2"/>
        <v>NOT FUNDED</v>
      </c>
      <c r="J71" s="20">
        <f t="shared" si="3"/>
        <v>8754</v>
      </c>
      <c r="K71" s="14" t="str">
        <f t="shared" si="1"/>
        <v>Over Budget</v>
      </c>
    </row>
    <row r="72">
      <c r="A72" s="7" t="b">
        <v>0</v>
      </c>
      <c r="B72" s="7" t="s">
        <v>1293</v>
      </c>
      <c r="C72" s="18" t="s">
        <v>1365</v>
      </c>
      <c r="D72" s="22">
        <v>260.0</v>
      </c>
      <c r="E72" s="9">
        <v>4.7550574E7</v>
      </c>
      <c r="F72" s="9">
        <v>2.9479561E7</v>
      </c>
      <c r="G72" s="10" t="str">
        <f>IF(E72&gt;percent,"YES","NO")</f>
        <v>YES</v>
      </c>
      <c r="H72" s="19">
        <v>647354.0</v>
      </c>
      <c r="I72" s="12" t="str">
        <f t="shared" si="2"/>
        <v>NOT FUNDED</v>
      </c>
      <c r="J72" s="20">
        <f t="shared" si="3"/>
        <v>8754</v>
      </c>
      <c r="K72" s="14" t="str">
        <f t="shared" si="1"/>
        <v>Over Budget</v>
      </c>
    </row>
    <row r="73">
      <c r="A73" s="7" t="b">
        <v>0</v>
      </c>
      <c r="B73" s="23" t="s">
        <v>1301</v>
      </c>
      <c r="C73" s="18" t="s">
        <v>1366</v>
      </c>
      <c r="D73" s="16">
        <v>125.0</v>
      </c>
      <c r="E73" s="24">
        <v>4.6713285E7</v>
      </c>
      <c r="F73" s="24">
        <v>3977673.0</v>
      </c>
      <c r="G73" s="10" t="str">
        <f>IF(E73&gt;percent,"YES","NO")</f>
        <v>YES</v>
      </c>
      <c r="H73" s="25">
        <v>65000.0</v>
      </c>
      <c r="I73" s="12" t="str">
        <f t="shared" si="2"/>
        <v>NOT FUNDED</v>
      </c>
      <c r="J73" s="20">
        <f t="shared" si="3"/>
        <v>8754</v>
      </c>
      <c r="K73" s="14" t="str">
        <f t="shared" si="1"/>
        <v>Over Budget</v>
      </c>
    </row>
    <row r="74">
      <c r="A74" s="7" t="b">
        <v>0</v>
      </c>
      <c r="B74" s="23" t="s">
        <v>1301</v>
      </c>
      <c r="C74" s="18" t="s">
        <v>1367</v>
      </c>
      <c r="D74" s="16">
        <v>108.0</v>
      </c>
      <c r="E74" s="24">
        <v>4.6684105E7</v>
      </c>
      <c r="F74" s="24">
        <v>1.0403116E7</v>
      </c>
      <c r="G74" s="10" t="str">
        <f>IF(E74&gt;percent,"YES","NO")</f>
        <v>YES</v>
      </c>
      <c r="H74" s="25">
        <v>70000.0</v>
      </c>
      <c r="I74" s="12" t="str">
        <f t="shared" si="2"/>
        <v>NOT FUNDED</v>
      </c>
      <c r="J74" s="20">
        <f t="shared" si="3"/>
        <v>8754</v>
      </c>
      <c r="K74" s="14" t="str">
        <f t="shared" si="1"/>
        <v>Over Budget</v>
      </c>
    </row>
    <row r="75">
      <c r="A75" s="7" t="b">
        <v>0</v>
      </c>
      <c r="B75" s="7" t="s">
        <v>1293</v>
      </c>
      <c r="C75" s="18" t="s">
        <v>1368</v>
      </c>
      <c r="D75" s="22">
        <v>225.0</v>
      </c>
      <c r="E75" s="9">
        <v>4.6524451E7</v>
      </c>
      <c r="F75" s="9">
        <v>3.0032772E7</v>
      </c>
      <c r="G75" s="10" t="str">
        <f>IF(E75&gt;percent,"YES","NO")</f>
        <v>YES</v>
      </c>
      <c r="H75" s="19">
        <v>505000.0</v>
      </c>
      <c r="I75" s="12" t="str">
        <f t="shared" si="2"/>
        <v>NOT FUNDED</v>
      </c>
      <c r="J75" s="20">
        <f t="shared" si="3"/>
        <v>8754</v>
      </c>
      <c r="K75" s="14" t="str">
        <f t="shared" si="1"/>
        <v>Over Budget</v>
      </c>
    </row>
    <row r="76">
      <c r="A76" s="7" t="b">
        <v>0</v>
      </c>
      <c r="B76" s="7" t="s">
        <v>1293</v>
      </c>
      <c r="C76" s="18" t="s">
        <v>1369</v>
      </c>
      <c r="D76" s="22">
        <v>166.0</v>
      </c>
      <c r="E76" s="9">
        <v>4.5908935E7</v>
      </c>
      <c r="F76" s="9">
        <v>2.8907298E7</v>
      </c>
      <c r="G76" s="10" t="str">
        <f>IF(E76&gt;percent,"YES","NO")</f>
        <v>YES</v>
      </c>
      <c r="H76" s="19">
        <v>396000.0</v>
      </c>
      <c r="I76" s="12" t="str">
        <f t="shared" si="2"/>
        <v>NOT FUNDED</v>
      </c>
      <c r="J76" s="20">
        <f t="shared" si="3"/>
        <v>8754</v>
      </c>
      <c r="K76" s="14" t="str">
        <f t="shared" si="1"/>
        <v>Over Budget</v>
      </c>
    </row>
    <row r="77">
      <c r="A77" s="7" t="b">
        <v>0</v>
      </c>
      <c r="B77" s="23" t="s">
        <v>1301</v>
      </c>
      <c r="C77" s="18" t="s">
        <v>1370</v>
      </c>
      <c r="D77" s="16">
        <v>158.0</v>
      </c>
      <c r="E77" s="24">
        <v>4.5832383E7</v>
      </c>
      <c r="F77" s="24">
        <v>1.121367E7</v>
      </c>
      <c r="G77" s="10" t="str">
        <f>IF(E77&gt;percent,"YES","NO")</f>
        <v>YES</v>
      </c>
      <c r="H77" s="25">
        <v>100000.0</v>
      </c>
      <c r="I77" s="12" t="str">
        <f t="shared" si="2"/>
        <v>NOT FUNDED</v>
      </c>
      <c r="J77" s="20">
        <f t="shared" si="3"/>
        <v>8754</v>
      </c>
      <c r="K77" s="14" t="str">
        <f t="shared" si="1"/>
        <v>Over Budget</v>
      </c>
    </row>
    <row r="78">
      <c r="A78" s="7" t="b">
        <v>0</v>
      </c>
      <c r="B78" s="23" t="s">
        <v>1301</v>
      </c>
      <c r="C78" s="18" t="s">
        <v>1371</v>
      </c>
      <c r="D78" s="16">
        <v>113.0</v>
      </c>
      <c r="E78" s="24">
        <v>4.5459923E7</v>
      </c>
      <c r="F78" s="24">
        <v>2.2944004E7</v>
      </c>
      <c r="G78" s="10" t="str">
        <f>IF(E78&gt;percent,"YES","NO")</f>
        <v>YES</v>
      </c>
      <c r="H78" s="25">
        <v>60000.0</v>
      </c>
      <c r="I78" s="12" t="str">
        <f t="shared" si="2"/>
        <v>NOT FUNDED</v>
      </c>
      <c r="J78" s="20">
        <f t="shared" si="3"/>
        <v>8754</v>
      </c>
      <c r="K78" s="14" t="str">
        <f t="shared" si="1"/>
        <v>Over Budget</v>
      </c>
    </row>
    <row r="79">
      <c r="A79" s="7" t="b">
        <v>0</v>
      </c>
      <c r="B79" s="7" t="s">
        <v>1293</v>
      </c>
      <c r="C79" s="18" t="s">
        <v>1372</v>
      </c>
      <c r="D79" s="22">
        <v>205.0</v>
      </c>
      <c r="E79" s="9">
        <v>4.4747331E7</v>
      </c>
      <c r="F79" s="9">
        <v>2.9622504E7</v>
      </c>
      <c r="G79" s="10" t="str">
        <f>IF(E79&gt;percent,"YES","NO")</f>
        <v>YES</v>
      </c>
      <c r="H79" s="19">
        <v>495000.0</v>
      </c>
      <c r="I79" s="12" t="str">
        <f t="shared" si="2"/>
        <v>NOT FUNDED</v>
      </c>
      <c r="J79" s="20">
        <f t="shared" si="3"/>
        <v>8754</v>
      </c>
      <c r="K79" s="14" t="str">
        <f t="shared" si="1"/>
        <v>Over Budget</v>
      </c>
    </row>
    <row r="80">
      <c r="A80" s="7" t="b">
        <v>1</v>
      </c>
      <c r="B80" s="23" t="s">
        <v>1301</v>
      </c>
      <c r="C80" s="18" t="s">
        <v>1373</v>
      </c>
      <c r="D80" s="16">
        <v>200.0</v>
      </c>
      <c r="E80" s="24">
        <v>6.7322474E7</v>
      </c>
      <c r="F80" s="24">
        <v>2.6974107E7</v>
      </c>
      <c r="G80" s="10" t="str">
        <f>IF(E80&gt;percent,"YES","NO")</f>
        <v>YES</v>
      </c>
      <c r="H80" s="25">
        <v>100000.0</v>
      </c>
      <c r="I80" s="26" t="s">
        <v>1374</v>
      </c>
    </row>
    <row r="81">
      <c r="A81" s="7" t="b">
        <v>1</v>
      </c>
      <c r="B81" s="23" t="s">
        <v>1301</v>
      </c>
      <c r="C81" s="18" t="s">
        <v>1375</v>
      </c>
      <c r="D81" s="16">
        <v>187.0</v>
      </c>
      <c r="E81" s="24">
        <v>6.5754547E7</v>
      </c>
      <c r="F81" s="24">
        <v>6396819.0</v>
      </c>
      <c r="G81" s="10" t="str">
        <f>IF(E81&gt;percent,"YES","NO")</f>
        <v>YES</v>
      </c>
      <c r="H81" s="25">
        <v>99500.0</v>
      </c>
      <c r="I81" s="26" t="s">
        <v>1374</v>
      </c>
    </row>
    <row r="82">
      <c r="A82" s="7" t="b">
        <v>1</v>
      </c>
      <c r="B82" s="23" t="s">
        <v>1301</v>
      </c>
      <c r="C82" s="18" t="s">
        <v>1376</v>
      </c>
      <c r="D82" s="16">
        <v>215.0</v>
      </c>
      <c r="E82" s="24">
        <v>6.4089089E7</v>
      </c>
      <c r="F82" s="24">
        <v>9290034.0</v>
      </c>
      <c r="G82" s="10" t="str">
        <f>IF(E82&gt;percent,"YES","NO")</f>
        <v>YES</v>
      </c>
      <c r="H82" s="25">
        <v>81000.0</v>
      </c>
      <c r="I82" s="26" t="s">
        <v>1374</v>
      </c>
    </row>
    <row r="83">
      <c r="A83" s="7" t="b">
        <v>1</v>
      </c>
      <c r="B83" s="23" t="s">
        <v>1301</v>
      </c>
      <c r="C83" s="18" t="s">
        <v>1377</v>
      </c>
      <c r="D83" s="16">
        <v>222.0</v>
      </c>
      <c r="E83" s="24">
        <v>6.0648401E7</v>
      </c>
      <c r="F83" s="24">
        <v>6764093.0</v>
      </c>
      <c r="G83" s="10" t="str">
        <f>IF(E83&gt;percent,"YES","NO")</f>
        <v>YES</v>
      </c>
      <c r="H83" s="25">
        <v>87000.0</v>
      </c>
      <c r="I83" s="26" t="s">
        <v>1374</v>
      </c>
    </row>
    <row r="84">
      <c r="A84" s="7" t="b">
        <v>1</v>
      </c>
      <c r="B84" s="23" t="s">
        <v>1301</v>
      </c>
      <c r="C84" s="18" t="s">
        <v>1378</v>
      </c>
      <c r="D84" s="16">
        <v>201.0</v>
      </c>
      <c r="E84" s="24">
        <v>5.6245554E7</v>
      </c>
      <c r="F84" s="24">
        <v>8308241.0</v>
      </c>
      <c r="G84" s="10" t="str">
        <f>IF(E84&gt;percent,"YES","NO")</f>
        <v>YES</v>
      </c>
      <c r="H84" s="25">
        <v>97600.0</v>
      </c>
      <c r="I84" s="26" t="s">
        <v>1374</v>
      </c>
    </row>
    <row r="85">
      <c r="A85" s="7" t="b">
        <v>1</v>
      </c>
      <c r="B85" s="23" t="s">
        <v>1301</v>
      </c>
      <c r="C85" s="18" t="s">
        <v>1379</v>
      </c>
      <c r="D85" s="16">
        <v>204.0</v>
      </c>
      <c r="E85" s="24">
        <v>5.6099278E7</v>
      </c>
      <c r="F85" s="24">
        <v>6933214.0</v>
      </c>
      <c r="G85" s="10" t="str">
        <f>IF(E85&gt;percent,"YES","NO")</f>
        <v>YES</v>
      </c>
      <c r="H85" s="25">
        <v>87600.0</v>
      </c>
      <c r="I85" s="26" t="s">
        <v>1374</v>
      </c>
    </row>
    <row r="86">
      <c r="A86" s="7" t="b">
        <v>1</v>
      </c>
      <c r="B86" s="23" t="s">
        <v>1301</v>
      </c>
      <c r="C86" s="18" t="s">
        <v>1380</v>
      </c>
      <c r="D86" s="16">
        <v>175.0</v>
      </c>
      <c r="E86" s="24">
        <v>4.903283E7</v>
      </c>
      <c r="F86" s="24">
        <v>5468567.0</v>
      </c>
      <c r="G86" s="10" t="str">
        <f>IF(E86&gt;percent,"YES","NO")</f>
        <v>YES</v>
      </c>
      <c r="H86" s="25">
        <v>40000.0</v>
      </c>
      <c r="I86" s="26" t="s">
        <v>1374</v>
      </c>
    </row>
    <row r="87">
      <c r="A87" s="7" t="b">
        <v>1</v>
      </c>
      <c r="B87" s="23" t="s">
        <v>1301</v>
      </c>
      <c r="C87" s="18" t="s">
        <v>1381</v>
      </c>
      <c r="D87" s="16">
        <v>146.0</v>
      </c>
      <c r="E87" s="24">
        <v>4.81882E7</v>
      </c>
      <c r="F87" s="24">
        <v>5887506.0</v>
      </c>
      <c r="G87" s="10" t="str">
        <f>IF(E87&gt;percent,"YES","NO")</f>
        <v>YES</v>
      </c>
      <c r="H87" s="25">
        <v>50000.0</v>
      </c>
      <c r="I87" s="26" t="s">
        <v>1374</v>
      </c>
    </row>
    <row r="88">
      <c r="A88" s="7" t="b">
        <v>1</v>
      </c>
      <c r="B88" s="23" t="s">
        <v>1301</v>
      </c>
      <c r="C88" s="18" t="s">
        <v>1382</v>
      </c>
      <c r="D88" s="16">
        <v>200.0</v>
      </c>
      <c r="E88" s="24">
        <v>8.0780244E7</v>
      </c>
      <c r="F88" s="24">
        <v>9585081.0</v>
      </c>
      <c r="G88" s="10" t="str">
        <f>IF(E88&gt;percent,"YES","NO")</f>
        <v>YES</v>
      </c>
      <c r="H88" s="25">
        <v>100000.0</v>
      </c>
      <c r="I88" s="26" t="s">
        <v>1374</v>
      </c>
    </row>
    <row r="89">
      <c r="A89" s="7" t="b">
        <v>1</v>
      </c>
      <c r="B89" s="23" t="s">
        <v>1301</v>
      </c>
      <c r="C89" s="18" t="s">
        <v>1383</v>
      </c>
      <c r="D89" s="16">
        <v>219.0</v>
      </c>
      <c r="E89" s="24">
        <v>7.525757E7</v>
      </c>
      <c r="F89" s="24">
        <v>1.0843664E7</v>
      </c>
      <c r="G89" s="10" t="str">
        <f>IF(E89&gt;percent,"YES","NO")</f>
        <v>YES</v>
      </c>
      <c r="H89" s="25">
        <v>100000.0</v>
      </c>
      <c r="I89" s="26" t="s">
        <v>1374</v>
      </c>
    </row>
    <row r="90">
      <c r="A90" s="7" t="b">
        <v>1</v>
      </c>
      <c r="B90" s="23" t="s">
        <v>1301</v>
      </c>
      <c r="C90" s="18" t="s">
        <v>1384</v>
      </c>
      <c r="D90" s="16">
        <v>184.0</v>
      </c>
      <c r="E90" s="24">
        <v>7.4469694E7</v>
      </c>
      <c r="F90" s="24">
        <v>8467457.0</v>
      </c>
      <c r="G90" s="10" t="str">
        <f>IF(E90&gt;percent,"YES","NO")</f>
        <v>YES</v>
      </c>
      <c r="H90" s="25">
        <v>100000.0</v>
      </c>
      <c r="I90" s="26" t="s">
        <v>1374</v>
      </c>
    </row>
    <row r="91">
      <c r="A91" s="7" t="b">
        <v>1</v>
      </c>
      <c r="B91" s="23" t="s">
        <v>1301</v>
      </c>
      <c r="C91" s="18" t="s">
        <v>1385</v>
      </c>
      <c r="D91" s="16">
        <v>193.0</v>
      </c>
      <c r="E91" s="24">
        <v>7.3081428E7</v>
      </c>
      <c r="F91" s="24">
        <v>1.5501962E7</v>
      </c>
      <c r="G91" s="10" t="str">
        <f>IF(E91&gt;percent,"YES","NO")</f>
        <v>YES</v>
      </c>
      <c r="H91" s="25">
        <v>100000.0</v>
      </c>
      <c r="I91" s="26" t="s">
        <v>1374</v>
      </c>
    </row>
    <row r="92">
      <c r="A92" s="7" t="b">
        <v>1</v>
      </c>
      <c r="B92" s="7" t="s">
        <v>1293</v>
      </c>
      <c r="C92" s="18" t="s">
        <v>1386</v>
      </c>
      <c r="D92" s="22">
        <v>297.0</v>
      </c>
      <c r="E92" s="9">
        <v>8.9865764E7</v>
      </c>
      <c r="F92" s="9">
        <v>2.0677462E7</v>
      </c>
      <c r="G92" s="10" t="str">
        <f>IF(E92&gt;percent,"YES","NO")</f>
        <v>YES</v>
      </c>
      <c r="H92" s="19">
        <v>250000.0</v>
      </c>
      <c r="I92" s="26" t="s">
        <v>1374</v>
      </c>
    </row>
    <row r="93">
      <c r="A93" s="7" t="b">
        <v>1</v>
      </c>
      <c r="B93" s="7" t="s">
        <v>1293</v>
      </c>
      <c r="C93" s="18" t="s">
        <v>1387</v>
      </c>
      <c r="D93" s="22">
        <v>366.0</v>
      </c>
      <c r="E93" s="9">
        <v>1.03956612E8</v>
      </c>
      <c r="F93" s="9">
        <v>2.7335613E7</v>
      </c>
      <c r="G93" s="10" t="str">
        <f>IF(E93&gt;percent,"YES","NO")</f>
        <v>YES</v>
      </c>
      <c r="H93" s="19">
        <v>250000.0</v>
      </c>
      <c r="I93" s="26" t="s">
        <v>1374</v>
      </c>
    </row>
    <row r="94">
      <c r="A94" s="7" t="b">
        <v>1</v>
      </c>
      <c r="B94" s="7" t="s">
        <v>1293</v>
      </c>
      <c r="C94" s="18" t="s">
        <v>1388</v>
      </c>
      <c r="D94" s="22">
        <v>363.0</v>
      </c>
      <c r="E94" s="9">
        <v>1.14872427E8</v>
      </c>
      <c r="F94" s="9">
        <v>2.5243374E7</v>
      </c>
      <c r="G94" s="10" t="str">
        <f>IF(E94&gt;percent,"YES","NO")</f>
        <v>YES</v>
      </c>
      <c r="H94" s="19">
        <v>250000.0</v>
      </c>
      <c r="I94" s="26" t="s">
        <v>1374</v>
      </c>
    </row>
    <row r="95">
      <c r="A95" s="7" t="b">
        <v>1</v>
      </c>
      <c r="B95" s="7" t="s">
        <v>1293</v>
      </c>
      <c r="C95" s="18" t="s">
        <v>1389</v>
      </c>
      <c r="D95" s="22">
        <v>233.0</v>
      </c>
      <c r="E95" s="9">
        <v>1.14992789E8</v>
      </c>
      <c r="F95" s="9">
        <v>2.8229725E7</v>
      </c>
      <c r="G95" s="10" t="str">
        <f>IF(E95&gt;percent,"YES","NO")</f>
        <v>YES</v>
      </c>
      <c r="H95" s="19">
        <v>250000.0</v>
      </c>
      <c r="I95" s="26" t="s">
        <v>1374</v>
      </c>
    </row>
    <row r="96">
      <c r="A96" s="7" t="b">
        <v>1</v>
      </c>
      <c r="B96" s="23" t="s">
        <v>1301</v>
      </c>
      <c r="C96" s="18" t="s">
        <v>1390</v>
      </c>
      <c r="D96" s="16">
        <v>207.0</v>
      </c>
      <c r="E96" s="24">
        <v>8.1080808E7</v>
      </c>
      <c r="F96" s="24">
        <v>1.218235E7</v>
      </c>
      <c r="G96" s="10" t="str">
        <f>IF(E96&gt;percent,"YES","NO")</f>
        <v>YES</v>
      </c>
      <c r="H96" s="25">
        <v>100000.0</v>
      </c>
      <c r="I96" s="26" t="s">
        <v>1374</v>
      </c>
    </row>
    <row r="97">
      <c r="A97" s="7" t="b">
        <v>1</v>
      </c>
      <c r="B97" s="23" t="s">
        <v>1301</v>
      </c>
      <c r="C97" s="18" t="s">
        <v>1391</v>
      </c>
      <c r="D97" s="16">
        <v>344.0</v>
      </c>
      <c r="E97" s="24">
        <v>7.6560554E7</v>
      </c>
      <c r="F97" s="24">
        <v>4942784.0</v>
      </c>
      <c r="G97" s="10" t="str">
        <f>IF(E97&gt;percent,"YES","NO")</f>
        <v>YES</v>
      </c>
      <c r="H97" s="25">
        <v>60000.0</v>
      </c>
      <c r="I97" s="26" t="s">
        <v>1374</v>
      </c>
    </row>
    <row r="98">
      <c r="A98" s="7" t="b">
        <v>1</v>
      </c>
      <c r="B98" s="23" t="s">
        <v>1301</v>
      </c>
      <c r="C98" s="18" t="s">
        <v>1392</v>
      </c>
      <c r="D98" s="16">
        <v>197.0</v>
      </c>
      <c r="E98" s="24">
        <v>7.5704293E7</v>
      </c>
      <c r="F98" s="24">
        <v>9949938.0</v>
      </c>
      <c r="G98" s="10" t="str">
        <f>IF(E98&gt;percent,"YES","NO")</f>
        <v>YES</v>
      </c>
      <c r="H98" s="25">
        <v>100000.0</v>
      </c>
      <c r="I98" s="26" t="s">
        <v>1374</v>
      </c>
    </row>
    <row r="99">
      <c r="A99" s="7" t="b">
        <v>1</v>
      </c>
      <c r="B99" s="23" t="s">
        <v>1301</v>
      </c>
      <c r="C99" s="18" t="s">
        <v>1393</v>
      </c>
      <c r="D99" s="16">
        <v>171.0</v>
      </c>
      <c r="E99" s="24">
        <v>6.8582358E7</v>
      </c>
      <c r="F99" s="24">
        <v>9035170.0</v>
      </c>
      <c r="G99" s="10" t="str">
        <f>IF(E99&gt;percent,"YES","NO")</f>
        <v>YES</v>
      </c>
      <c r="H99" s="25">
        <v>85000.0</v>
      </c>
      <c r="I99" s="26" t="s">
        <v>1374</v>
      </c>
    </row>
    <row r="100">
      <c r="A100" s="7" t="b">
        <v>1</v>
      </c>
      <c r="B100" s="23" t="s">
        <v>1301</v>
      </c>
      <c r="C100" s="18" t="s">
        <v>1394</v>
      </c>
      <c r="D100" s="16">
        <v>135.0</v>
      </c>
      <c r="E100" s="24">
        <v>6.2567595E7</v>
      </c>
      <c r="F100" s="24">
        <v>7401536.0</v>
      </c>
      <c r="G100" s="10" t="str">
        <f>IF(E100&gt;percent,"YES","NO")</f>
        <v>YES</v>
      </c>
      <c r="H100" s="25">
        <v>90000.0</v>
      </c>
      <c r="I100" s="26" t="s">
        <v>1374</v>
      </c>
    </row>
    <row r="101">
      <c r="A101" s="7" t="b">
        <v>1</v>
      </c>
      <c r="B101" s="23" t="s">
        <v>1301</v>
      </c>
      <c r="C101" s="18" t="s">
        <v>1395</v>
      </c>
      <c r="D101" s="27">
        <v>145.0</v>
      </c>
      <c r="E101" s="24">
        <v>5.9302054E7</v>
      </c>
      <c r="F101" s="24">
        <v>5004782.0</v>
      </c>
      <c r="G101" s="10" t="str">
        <f>IF(E101&gt;percent,"YES","NO")</f>
        <v>YES</v>
      </c>
      <c r="H101" s="25">
        <v>80000.0</v>
      </c>
      <c r="I101" s="26" t="s">
        <v>1374</v>
      </c>
    </row>
    <row r="102">
      <c r="A102" s="7" t="b">
        <v>1</v>
      </c>
      <c r="B102" s="23" t="s">
        <v>1301</v>
      </c>
      <c r="C102" s="18" t="s">
        <v>1396</v>
      </c>
      <c r="D102" s="16">
        <v>152.0</v>
      </c>
      <c r="E102" s="24">
        <v>5.2482545E7</v>
      </c>
      <c r="F102" s="24">
        <v>2.3384722E7</v>
      </c>
      <c r="G102" s="10" t="str">
        <f>IF(E102&gt;percent,"YES","NO")</f>
        <v>YES</v>
      </c>
      <c r="H102" s="25">
        <v>80000.0</v>
      </c>
      <c r="I102" s="26" t="s">
        <v>1374</v>
      </c>
    </row>
    <row r="103">
      <c r="A103" s="7" t="b">
        <v>1</v>
      </c>
      <c r="B103" s="23" t="s">
        <v>1301</v>
      </c>
      <c r="C103" s="18" t="s">
        <v>1397</v>
      </c>
      <c r="D103" s="16">
        <v>197.0</v>
      </c>
      <c r="E103" s="24">
        <v>4.8345528E7</v>
      </c>
      <c r="F103" s="24">
        <v>1.078778E7</v>
      </c>
      <c r="G103" s="10" t="str">
        <f>IF(E103&gt;percent,"YES","NO")</f>
        <v>YES</v>
      </c>
      <c r="H103" s="25">
        <v>100000.0</v>
      </c>
      <c r="I103" s="26" t="s">
        <v>1374</v>
      </c>
    </row>
    <row r="104">
      <c r="A104" s="7" t="b">
        <v>1</v>
      </c>
      <c r="B104" s="7" t="s">
        <v>1293</v>
      </c>
      <c r="C104" s="18" t="s">
        <v>1398</v>
      </c>
      <c r="D104" s="22">
        <v>322.0</v>
      </c>
      <c r="E104" s="9">
        <v>1.16465487E8</v>
      </c>
      <c r="F104" s="9">
        <v>3.4955104E7</v>
      </c>
      <c r="G104" s="10" t="str">
        <f>IF(E104&gt;percent,"YES","NO")</f>
        <v>YES</v>
      </c>
      <c r="H104" s="19">
        <v>250000.0</v>
      </c>
      <c r="I104" s="26" t="s">
        <v>1374</v>
      </c>
    </row>
    <row r="105">
      <c r="A105" s="7" t="b">
        <v>1</v>
      </c>
      <c r="B105" s="7" t="s">
        <v>1293</v>
      </c>
      <c r="C105" s="18" t="s">
        <v>1399</v>
      </c>
      <c r="D105" s="22">
        <v>399.0</v>
      </c>
      <c r="E105" s="9">
        <v>1.15560067E8</v>
      </c>
      <c r="F105" s="9">
        <v>3.5999789E7</v>
      </c>
      <c r="G105" s="10" t="str">
        <f>IF(E105&gt;percent,"YES","NO")</f>
        <v>YES</v>
      </c>
      <c r="H105" s="19">
        <v>1000000.0</v>
      </c>
      <c r="I105" s="26" t="s">
        <v>1374</v>
      </c>
    </row>
    <row r="106">
      <c r="A106" s="7" t="b">
        <v>1</v>
      </c>
      <c r="B106" s="7" t="s">
        <v>1293</v>
      </c>
      <c r="C106" s="18" t="s">
        <v>1400</v>
      </c>
      <c r="D106" s="22">
        <v>338.0</v>
      </c>
      <c r="E106" s="9">
        <v>9.8562561E7</v>
      </c>
      <c r="F106" s="9">
        <v>2.6658376E7</v>
      </c>
      <c r="G106" s="10" t="str">
        <f>IF(E106&gt;percent,"YES","NO")</f>
        <v>YES</v>
      </c>
      <c r="H106" s="19">
        <v>250000.0</v>
      </c>
      <c r="I106" s="26" t="s">
        <v>1374</v>
      </c>
    </row>
    <row r="107">
      <c r="A107" s="7" t="b">
        <v>1</v>
      </c>
      <c r="B107" s="7" t="s">
        <v>1293</v>
      </c>
      <c r="C107" s="18" t="s">
        <v>1401</v>
      </c>
      <c r="D107" s="22">
        <v>318.0</v>
      </c>
      <c r="E107" s="9">
        <v>8.8244645E7</v>
      </c>
      <c r="F107" s="9">
        <v>2.9237498E7</v>
      </c>
      <c r="G107" s="10" t="str">
        <f>IF(E107&gt;percent,"YES","NO")</f>
        <v>YES</v>
      </c>
      <c r="H107" s="19">
        <v>250000.0</v>
      </c>
      <c r="I107" s="26" t="s">
        <v>1374</v>
      </c>
    </row>
    <row r="108">
      <c r="A108" s="7" t="b">
        <v>1</v>
      </c>
      <c r="B108" s="7" t="s">
        <v>1293</v>
      </c>
      <c r="C108" s="18" t="s">
        <v>1402</v>
      </c>
      <c r="D108" s="22">
        <v>202.0</v>
      </c>
      <c r="E108" s="9">
        <v>6.6316563E7</v>
      </c>
      <c r="F108" s="9">
        <v>3.5891255E7</v>
      </c>
      <c r="G108" s="10" t="str">
        <f>IF(E108&gt;percent,"YES","NO")</f>
        <v>YES</v>
      </c>
      <c r="H108" s="19">
        <v>850000.0</v>
      </c>
      <c r="I108" s="26" t="s">
        <v>1374</v>
      </c>
    </row>
    <row r="109">
      <c r="A109" s="7" t="b">
        <v>1</v>
      </c>
      <c r="B109" s="7" t="s">
        <v>1293</v>
      </c>
      <c r="C109" s="18" t="s">
        <v>1403</v>
      </c>
      <c r="D109" s="22">
        <v>271.0</v>
      </c>
      <c r="E109" s="9">
        <v>4.8247912E7</v>
      </c>
      <c r="F109" s="9">
        <v>2.2413682E7</v>
      </c>
      <c r="G109" s="10" t="str">
        <f>IF(E109&gt;percent,"YES","NO")</f>
        <v>YES</v>
      </c>
      <c r="H109" s="19">
        <v>250000.0</v>
      </c>
      <c r="I109" s="26" t="s">
        <v>1374</v>
      </c>
    </row>
  </sheetData>
  <autoFilter ref="$A$1:$H$79">
    <sortState ref="A1:H79">
      <sortCondition descending="1" ref="E1:E79"/>
    </sortState>
  </autoFilter>
  <mergeCells count="30"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8:K108"/>
    <mergeCell ref="I109:K109"/>
    <mergeCell ref="I101:K101"/>
    <mergeCell ref="I102:K102"/>
    <mergeCell ref="I103:K103"/>
    <mergeCell ref="I104:K104"/>
    <mergeCell ref="I105:K105"/>
    <mergeCell ref="I106:K106"/>
    <mergeCell ref="I107:K107"/>
  </mergeCells>
  <conditionalFormatting sqref="I2:I109">
    <cfRule type="cellIs" dxfId="0" priority="1" operator="equal">
      <formula>"FUNDED"</formula>
    </cfRule>
  </conditionalFormatting>
  <conditionalFormatting sqref="I2:I109">
    <cfRule type="cellIs" dxfId="1" priority="2" operator="equal">
      <formula>"NOT FUNDED"</formula>
    </cfRule>
  </conditionalFormatting>
  <conditionalFormatting sqref="K2:K79">
    <cfRule type="cellIs" dxfId="0" priority="3" operator="greaterThan">
      <formula>999</formula>
    </cfRule>
  </conditionalFormatting>
  <conditionalFormatting sqref="K2:K79">
    <cfRule type="cellIs" dxfId="0" priority="4" operator="greaterThan">
      <formula>999</formula>
    </cfRule>
  </conditionalFormatting>
  <conditionalFormatting sqref="K2:K79">
    <cfRule type="containsText" dxfId="1" priority="5" operator="containsText" text="NOT FUNDED">
      <formula>NOT(ISERROR(SEARCH(("NOT FUNDED"),(K2))))</formula>
    </cfRule>
  </conditionalFormatting>
  <conditionalFormatting sqref="K2:K79">
    <cfRule type="cellIs" dxfId="2" priority="6" operator="equal">
      <formula>"Over Budget"</formula>
    </cfRule>
  </conditionalFormatting>
  <conditionalFormatting sqref="K2:K79">
    <cfRule type="cellIs" dxfId="1" priority="7" operator="equal">
      <formula>"Approval Threshold"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3" max="3" width="46.13"/>
  </cols>
  <sheetData>
    <row r="1">
      <c r="A1" s="5" t="s">
        <v>1404</v>
      </c>
      <c r="B1" s="5" t="s">
        <v>1405</v>
      </c>
      <c r="C1" s="1" t="s">
        <v>0</v>
      </c>
      <c r="D1" s="2" t="s">
        <v>1</v>
      </c>
      <c r="E1" s="3" t="s">
        <v>2</v>
      </c>
      <c r="F1" s="3" t="s">
        <v>3</v>
      </c>
      <c r="G1" s="4" t="s">
        <v>5</v>
      </c>
    </row>
    <row r="2">
      <c r="A2" s="28" t="s">
        <v>1293</v>
      </c>
      <c r="B2" s="28" t="s">
        <v>1406</v>
      </c>
      <c r="C2" s="29" t="s">
        <v>1407</v>
      </c>
      <c r="D2" s="30">
        <v>211.0</v>
      </c>
      <c r="E2" s="31">
        <v>1.31879352E8</v>
      </c>
      <c r="F2" s="31">
        <v>3.0164613E7</v>
      </c>
      <c r="G2" s="32">
        <v>450000.0</v>
      </c>
    </row>
  </sheetData>
  <hyperlinks>
    <hyperlink r:id="rId1" ref="C2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1.88"/>
    <col customWidth="1" min="3" max="3" width="15.38"/>
  </cols>
  <sheetData>
    <row r="1">
      <c r="A1" s="28" t="s">
        <v>1408</v>
      </c>
    </row>
    <row r="2">
      <c r="B2" s="28" t="s">
        <v>1301</v>
      </c>
      <c r="C2" s="28">
        <v>3100000.0</v>
      </c>
    </row>
    <row r="3">
      <c r="B3" s="28" t="s">
        <v>1409</v>
      </c>
      <c r="C3" s="28">
        <v>3000000.0</v>
      </c>
    </row>
    <row r="4">
      <c r="B4" s="28" t="s">
        <v>1410</v>
      </c>
      <c r="C4" s="28">
        <v>4000000.0</v>
      </c>
    </row>
    <row r="5">
      <c r="B5" s="28" t="s">
        <v>1293</v>
      </c>
      <c r="C5" s="28">
        <v>8500000.0</v>
      </c>
    </row>
    <row r="6">
      <c r="A6" s="28"/>
      <c r="B6" s="28"/>
    </row>
    <row r="7">
      <c r="A7" s="28" t="s">
        <v>1411</v>
      </c>
      <c r="B7" s="28"/>
      <c r="C7" s="28"/>
    </row>
    <row r="8">
      <c r="A8" s="28"/>
      <c r="B8" s="33" t="s">
        <v>1412</v>
      </c>
      <c r="C8" s="34">
        <v>4.452695014E9</v>
      </c>
    </row>
    <row r="9">
      <c r="A9" s="28" t="s">
        <v>1413</v>
      </c>
      <c r="B9" s="28"/>
      <c r="C9" s="34"/>
    </row>
    <row r="10">
      <c r="A10" s="28"/>
      <c r="B10" s="35">
        <v>0.01</v>
      </c>
      <c r="C10" s="34">
        <f>C8*B10</f>
        <v>44526950.14</v>
      </c>
    </row>
    <row r="11">
      <c r="A11" s="28"/>
      <c r="B11" s="28"/>
    </row>
    <row r="12">
      <c r="A12" s="28" t="s">
        <v>1414</v>
      </c>
      <c r="B12" s="28"/>
    </row>
    <row r="13">
      <c r="A13" s="28"/>
      <c r="B13" s="33" t="s">
        <v>1415</v>
      </c>
      <c r="C13" s="36">
        <f>SUM('Cardano Open Developers'!H265,'Cardano Open Ecosystem'!H451,'Cardano Use Cases Concept'!H461,'Cardano Use Cases Partners &amp; Pr'!H109)</f>
        <v>2039420</v>
      </c>
    </row>
    <row r="14">
      <c r="A14" s="28"/>
      <c r="B14" s="28"/>
    </row>
    <row r="15">
      <c r="A15" s="28"/>
      <c r="B15" s="28"/>
    </row>
    <row r="16">
      <c r="A16" s="28"/>
      <c r="B16" s="28"/>
    </row>
    <row r="17">
      <c r="A17" s="28"/>
      <c r="B17" s="28"/>
    </row>
    <row r="18">
      <c r="A18" s="28"/>
      <c r="B18" s="28"/>
    </row>
  </sheetData>
  <drawing r:id="rId1"/>
</worksheet>
</file>